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yalakhdissi/Downloads/"/>
    </mc:Choice>
  </mc:AlternateContent>
  <xr:revisionPtr revIDLastSave="0" documentId="8_{C3B4B7AF-C4F7-BD47-B8AC-1A4F17506CB7}" xr6:coauthVersionLast="47" xr6:coauthVersionMax="47" xr10:uidLastSave="{00000000-0000-0000-0000-000000000000}"/>
  <bookViews>
    <workbookView xWindow="0" yWindow="740" windowWidth="29400" windowHeight="18380" firstSheet="5" activeTab="7" xr2:uid="{4C134859-BE7B-CE45-8B66-B08ECA54C4E2}"/>
  </bookViews>
  <sheets>
    <sheet name="Sheet2" sheetId="3" r:id="rId1"/>
    <sheet name="Sheet3" sheetId="4" r:id="rId2"/>
    <sheet name="Sheet4" sheetId="5" r:id="rId3"/>
    <sheet name="Sheet5" sheetId="6" r:id="rId4"/>
    <sheet name="Sheet6" sheetId="7" r:id="rId5"/>
    <sheet name="Sheet7" sheetId="8" r:id="rId6"/>
    <sheet name="Sheet8" sheetId="9" r:id="rId7"/>
    <sheet name="fifa_ranking_2022-10-06" sheetId="2" r:id="rId8"/>
  </sheets>
  <definedNames>
    <definedName name="ExternalData_1" localSheetId="7" hidden="1">'fifa_ranking_2022-10-06'!$A$1:$G$212</definedName>
  </definedNames>
  <calcPr calcId="181029"/>
  <pivotCaches>
    <pivotCache cacheId="1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1" i="2" l="1"/>
  <c r="A220" i="2"/>
  <c r="A219" i="2"/>
  <c r="A217" i="2"/>
  <c r="A216" i="2"/>
  <c r="A215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3CFBC8-63FD-4442-8110-29E9C25BDF25}" keepAlive="1" name="Query - fifa_ranking_2022-10-06" description="Connection to the 'fifa_ranking_2022-10-06' query in the workbook." type="5" refreshedVersion="8" background="1" saveData="1">
    <dbPr connection="Provider=Microsoft.Mashup.OleDb.1;Data Source=$Workbook$;Location=fifa_ranking_2022-10-06;Extended Properties=&quot;&quot;" command="SELECT * FROM [fifa_ranking_2022-10-06]"/>
  </connection>
</connections>
</file>

<file path=xl/sharedStrings.xml><?xml version="1.0" encoding="utf-8"?>
<sst xmlns="http://schemas.openxmlformats.org/spreadsheetml/2006/main" count="2211" uniqueCount="458">
  <si>
    <t>team</t>
  </si>
  <si>
    <t>team_code</t>
  </si>
  <si>
    <t>association</t>
  </si>
  <si>
    <t>rank</t>
  </si>
  <si>
    <t>previous_rank</t>
  </si>
  <si>
    <t>points</t>
  </si>
  <si>
    <t>previous_points</t>
  </si>
  <si>
    <t>Brazil</t>
  </si>
  <si>
    <t>BRA</t>
  </si>
  <si>
    <t>CONMEBOL</t>
  </si>
  <si>
    <t>Belgium</t>
  </si>
  <si>
    <t>BEL</t>
  </si>
  <si>
    <t>UEFA</t>
  </si>
  <si>
    <t>Argentina</t>
  </si>
  <si>
    <t>ARG</t>
  </si>
  <si>
    <t>France</t>
  </si>
  <si>
    <t>FRA</t>
  </si>
  <si>
    <t>England</t>
  </si>
  <si>
    <t>ENG</t>
  </si>
  <si>
    <t>Italy</t>
  </si>
  <si>
    <t>ITA</t>
  </si>
  <si>
    <t>Spain</t>
  </si>
  <si>
    <t>ESP</t>
  </si>
  <si>
    <t>Netherlands</t>
  </si>
  <si>
    <t>NED</t>
  </si>
  <si>
    <t>Portugal</t>
  </si>
  <si>
    <t>POR</t>
  </si>
  <si>
    <t>Denmark</t>
  </si>
  <si>
    <t>DEN</t>
  </si>
  <si>
    <t>Germany</t>
  </si>
  <si>
    <t>GER</t>
  </si>
  <si>
    <t>Croatia</t>
  </si>
  <si>
    <t>CRO</t>
  </si>
  <si>
    <t>Mexico</t>
  </si>
  <si>
    <t>MEX</t>
  </si>
  <si>
    <t>CONCACAF</t>
  </si>
  <si>
    <t>Uruguay</t>
  </si>
  <si>
    <t>URU</t>
  </si>
  <si>
    <t>Switzerland</t>
  </si>
  <si>
    <t>SUI</t>
  </si>
  <si>
    <t>USA</t>
  </si>
  <si>
    <t>Colombia</t>
  </si>
  <si>
    <t>COL</t>
  </si>
  <si>
    <t>Senegal</t>
  </si>
  <si>
    <t>SEN</t>
  </si>
  <si>
    <t>CAF</t>
  </si>
  <si>
    <t>Wales</t>
  </si>
  <si>
    <t>WAL</t>
  </si>
  <si>
    <t>IR Iran</t>
  </si>
  <si>
    <t>IRN</t>
  </si>
  <si>
    <t>AFC</t>
  </si>
  <si>
    <t>Serbia</t>
  </si>
  <si>
    <t>SRB</t>
  </si>
  <si>
    <t>Morocco</t>
  </si>
  <si>
    <t>MAR</t>
  </si>
  <si>
    <t>Peru</t>
  </si>
  <si>
    <t>PER</t>
  </si>
  <si>
    <t>Japan</t>
  </si>
  <si>
    <t>JPN</t>
  </si>
  <si>
    <t>Sweden</t>
  </si>
  <si>
    <t>SWE</t>
  </si>
  <si>
    <t>Poland</t>
  </si>
  <si>
    <t>POL</t>
  </si>
  <si>
    <t>Ukraine</t>
  </si>
  <si>
    <t>UKR</t>
  </si>
  <si>
    <t>Korea Republic</t>
  </si>
  <si>
    <t>KOR</t>
  </si>
  <si>
    <t>Chile</t>
  </si>
  <si>
    <t>CHI</t>
  </si>
  <si>
    <t>Tunisia</t>
  </si>
  <si>
    <t>TUN</t>
  </si>
  <si>
    <t>Costa Rica</t>
  </si>
  <si>
    <t>CRC</t>
  </si>
  <si>
    <t>Nigeria</t>
  </si>
  <si>
    <t>NGA</t>
  </si>
  <si>
    <t>Russia</t>
  </si>
  <si>
    <t>RUS</t>
  </si>
  <si>
    <t>Austria</t>
  </si>
  <si>
    <t>AUT</t>
  </si>
  <si>
    <t>Czechia</t>
  </si>
  <si>
    <t>CZE</t>
  </si>
  <si>
    <t>Hungary</t>
  </si>
  <si>
    <t>HUN</t>
  </si>
  <si>
    <t>Algeria</t>
  </si>
  <si>
    <t>ALG</t>
  </si>
  <si>
    <t>Australia</t>
  </si>
  <si>
    <t>AUS</t>
  </si>
  <si>
    <t>Egypt</t>
  </si>
  <si>
    <t>EGY</t>
  </si>
  <si>
    <t>Scotland</t>
  </si>
  <si>
    <t>SCO</t>
  </si>
  <si>
    <t>Canada</t>
  </si>
  <si>
    <t>CAN</t>
  </si>
  <si>
    <t>Norway</t>
  </si>
  <si>
    <t>NOR</t>
  </si>
  <si>
    <t>Cameroon</t>
  </si>
  <si>
    <t>CMR</t>
  </si>
  <si>
    <t>Ecuador</t>
  </si>
  <si>
    <t>ECU</t>
  </si>
  <si>
    <t>Türkiye</t>
  </si>
  <si>
    <t>TUR</t>
  </si>
  <si>
    <t>Mali</t>
  </si>
  <si>
    <t>MLI</t>
  </si>
  <si>
    <t>Paraguay</t>
  </si>
  <si>
    <t>PAR</t>
  </si>
  <si>
    <t>Côte d'Ivoire</t>
  </si>
  <si>
    <t>CIV</t>
  </si>
  <si>
    <t>Republic of Ireland</t>
  </si>
  <si>
    <t>IRL</t>
  </si>
  <si>
    <t>Qatar</t>
  </si>
  <si>
    <t>QAT</t>
  </si>
  <si>
    <t>Saudi Arabia</t>
  </si>
  <si>
    <t>KSA</t>
  </si>
  <si>
    <t>Greece</t>
  </si>
  <si>
    <t>GRE</t>
  </si>
  <si>
    <t>Romania</t>
  </si>
  <si>
    <t>ROU</t>
  </si>
  <si>
    <t>Burkina Faso</t>
  </si>
  <si>
    <t>BFA</t>
  </si>
  <si>
    <t>Slovakia</t>
  </si>
  <si>
    <t>SVK</t>
  </si>
  <si>
    <t>Finland</t>
  </si>
  <si>
    <t>FIN</t>
  </si>
  <si>
    <t>Venezuela</t>
  </si>
  <si>
    <t>VEN</t>
  </si>
  <si>
    <t>Bosnia and Herzegovina</t>
  </si>
  <si>
    <t>BIH</t>
  </si>
  <si>
    <t>Northern Ireland</t>
  </si>
  <si>
    <t>NIR</t>
  </si>
  <si>
    <t>Panama</t>
  </si>
  <si>
    <t>PAN</t>
  </si>
  <si>
    <t>Ghana</t>
  </si>
  <si>
    <t>GHA</t>
  </si>
  <si>
    <t>Iceland</t>
  </si>
  <si>
    <t>ISL</t>
  </si>
  <si>
    <t>Slovenia</t>
  </si>
  <si>
    <t>SVN</t>
  </si>
  <si>
    <t>Jamaica</t>
  </si>
  <si>
    <t>JAM</t>
  </si>
  <si>
    <t>North Macedonia</t>
  </si>
  <si>
    <t>MKD</t>
  </si>
  <si>
    <t>Albania</t>
  </si>
  <si>
    <t>ALB</t>
  </si>
  <si>
    <t>South Africa</t>
  </si>
  <si>
    <t>RSA</t>
  </si>
  <si>
    <t>Iraq</t>
  </si>
  <si>
    <t>IRQ</t>
  </si>
  <si>
    <t>Montenegro</t>
  </si>
  <si>
    <t>MNE</t>
  </si>
  <si>
    <t>United Arab Emirates</t>
  </si>
  <si>
    <t>UAE</t>
  </si>
  <si>
    <t>Cabo Verde</t>
  </si>
  <si>
    <t>CPV</t>
  </si>
  <si>
    <t>Bulgaria</t>
  </si>
  <si>
    <t>BUL</t>
  </si>
  <si>
    <t>Congo DR</t>
  </si>
  <si>
    <t>COD</t>
  </si>
  <si>
    <t>El Salvador</t>
  </si>
  <si>
    <t>SLV</t>
  </si>
  <si>
    <t>Oman</t>
  </si>
  <si>
    <t>OMA</t>
  </si>
  <si>
    <t>Israel</t>
  </si>
  <si>
    <t>ISR</t>
  </si>
  <si>
    <t>Uzbekistan</t>
  </si>
  <si>
    <t>UZB</t>
  </si>
  <si>
    <t>Georgia</t>
  </si>
  <si>
    <t>GEO</t>
  </si>
  <si>
    <t>China PR</t>
  </si>
  <si>
    <t>CHN</t>
  </si>
  <si>
    <t>Honduras</t>
  </si>
  <si>
    <t>HON</t>
  </si>
  <si>
    <t>Gabon</t>
  </si>
  <si>
    <t>GAB</t>
  </si>
  <si>
    <t>Bolivia</t>
  </si>
  <si>
    <t>BOL</t>
  </si>
  <si>
    <t>Guinea</t>
  </si>
  <si>
    <t>GUI</t>
  </si>
  <si>
    <t>Jordan</t>
  </si>
  <si>
    <t>JOR</t>
  </si>
  <si>
    <t>Bahrain</t>
  </si>
  <si>
    <t>BHR</t>
  </si>
  <si>
    <t>Curaçao</t>
  </si>
  <si>
    <t>CUW</t>
  </si>
  <si>
    <t>Haiti</t>
  </si>
  <si>
    <t>HAI</t>
  </si>
  <si>
    <t>Zambia</t>
  </si>
  <si>
    <t>ZAM</t>
  </si>
  <si>
    <t>Uganda</t>
  </si>
  <si>
    <t>UGA</t>
  </si>
  <si>
    <t>Syria</t>
  </si>
  <si>
    <t>SYR</t>
  </si>
  <si>
    <t>Benin</t>
  </si>
  <si>
    <t>BEN</t>
  </si>
  <si>
    <t>Luxembourg</t>
  </si>
  <si>
    <t>LUX</t>
  </si>
  <si>
    <t>Armenia</t>
  </si>
  <si>
    <t>ARM</t>
  </si>
  <si>
    <t>Palestine</t>
  </si>
  <si>
    <t>PLE</t>
  </si>
  <si>
    <t>Kyrgyz Republic</t>
  </si>
  <si>
    <t>KGZ</t>
  </si>
  <si>
    <t>Vietnam</t>
  </si>
  <si>
    <t>VIE</t>
  </si>
  <si>
    <t>Belarus</t>
  </si>
  <si>
    <t>BLR</t>
  </si>
  <si>
    <t>Equatorial Guinea</t>
  </si>
  <si>
    <t>EQG</t>
  </si>
  <si>
    <t>Lebanon</t>
  </si>
  <si>
    <t>LBN</t>
  </si>
  <si>
    <t>Congo</t>
  </si>
  <si>
    <t>CGO</t>
  </si>
  <si>
    <t>Kenya</t>
  </si>
  <si>
    <t>KEN</t>
  </si>
  <si>
    <t>Madagascar</t>
  </si>
  <si>
    <t>MAD</t>
  </si>
  <si>
    <t>Mauritania</t>
  </si>
  <si>
    <t>MTN</t>
  </si>
  <si>
    <t>Trinidad and Tobago</t>
  </si>
  <si>
    <t>TRI</t>
  </si>
  <si>
    <t>New Zealand</t>
  </si>
  <si>
    <t>NZL</t>
  </si>
  <si>
    <t>OFC</t>
  </si>
  <si>
    <t>India</t>
  </si>
  <si>
    <t>IND</t>
  </si>
  <si>
    <t>Kosovo</t>
  </si>
  <si>
    <t>KOS</t>
  </si>
  <si>
    <t>Tajikistan</t>
  </si>
  <si>
    <t>TJK</t>
  </si>
  <si>
    <t>Estonia</t>
  </si>
  <si>
    <t>EST</t>
  </si>
  <si>
    <t>Cyprus</t>
  </si>
  <si>
    <t>CYP</t>
  </si>
  <si>
    <t>Thailand</t>
  </si>
  <si>
    <t>THA</t>
  </si>
  <si>
    <t>Korea DPR</t>
  </si>
  <si>
    <t>PRK</t>
  </si>
  <si>
    <t>Kazakhstan</t>
  </si>
  <si>
    <t>KAZ</t>
  </si>
  <si>
    <t>Mozambique</t>
  </si>
  <si>
    <t>MOZ</t>
  </si>
  <si>
    <t>Namibia</t>
  </si>
  <si>
    <t>NAM</t>
  </si>
  <si>
    <t>Guinea-Bissau</t>
  </si>
  <si>
    <t>GNB</t>
  </si>
  <si>
    <t>Sierra Leone</t>
  </si>
  <si>
    <t>SLE</t>
  </si>
  <si>
    <t>Guatemala</t>
  </si>
  <si>
    <t>GUA</t>
  </si>
  <si>
    <t>Angola</t>
  </si>
  <si>
    <t>ANG</t>
  </si>
  <si>
    <t>Libya</t>
  </si>
  <si>
    <t>LBY</t>
  </si>
  <si>
    <t>Niger</t>
  </si>
  <si>
    <t>NIG</t>
  </si>
  <si>
    <t>Faroe Islands</t>
  </si>
  <si>
    <t>FRO</t>
  </si>
  <si>
    <t>Azerbaijan</t>
  </si>
  <si>
    <t>AZE</t>
  </si>
  <si>
    <t>Malawi</t>
  </si>
  <si>
    <t>MWI</t>
  </si>
  <si>
    <t>Zimbabwe</t>
  </si>
  <si>
    <t>ZIM</t>
  </si>
  <si>
    <t>The Gambia</t>
  </si>
  <si>
    <t>GAM</t>
  </si>
  <si>
    <t>Togo</t>
  </si>
  <si>
    <t>TOG</t>
  </si>
  <si>
    <t>Sudan</t>
  </si>
  <si>
    <t>SDN</t>
  </si>
  <si>
    <t>Comoros</t>
  </si>
  <si>
    <t>COM</t>
  </si>
  <si>
    <t>Tanzania</t>
  </si>
  <si>
    <t>TAN</t>
  </si>
  <si>
    <t>Antigua and Barbuda</t>
  </si>
  <si>
    <t>ATG</t>
  </si>
  <si>
    <t>Central African Republic</t>
  </si>
  <si>
    <t>CTA</t>
  </si>
  <si>
    <t>Philippines</t>
  </si>
  <si>
    <t>PHI</t>
  </si>
  <si>
    <t>Latvia</t>
  </si>
  <si>
    <t>LVA</t>
  </si>
  <si>
    <t>Turkmenistan</t>
  </si>
  <si>
    <t>TKM</t>
  </si>
  <si>
    <t>Solomon Islands</t>
  </si>
  <si>
    <t>SOL</t>
  </si>
  <si>
    <t>Rwanda</t>
  </si>
  <si>
    <t>RWA</t>
  </si>
  <si>
    <t>Ethiopia</t>
  </si>
  <si>
    <t>ETH</t>
  </si>
  <si>
    <t>Suriname</t>
  </si>
  <si>
    <t>SUR</t>
  </si>
  <si>
    <t>St Kitts and Nevis</t>
  </si>
  <si>
    <t>SKN</t>
  </si>
  <si>
    <t>Burundi</t>
  </si>
  <si>
    <t>BDI</t>
  </si>
  <si>
    <t>Nicaragua</t>
  </si>
  <si>
    <t>NCA</t>
  </si>
  <si>
    <t>Eswatini</t>
  </si>
  <si>
    <t>SWZ</t>
  </si>
  <si>
    <t>Lithuania</t>
  </si>
  <si>
    <t>LTU</t>
  </si>
  <si>
    <t>Hong Kong</t>
  </si>
  <si>
    <t>HKG</t>
  </si>
  <si>
    <t>Malaysia</t>
  </si>
  <si>
    <t>MAS</t>
  </si>
  <si>
    <t>Lesotho</t>
  </si>
  <si>
    <t>LES</t>
  </si>
  <si>
    <t>Botswana</t>
  </si>
  <si>
    <t>BOT</t>
  </si>
  <si>
    <t>Kuwait</t>
  </si>
  <si>
    <t>KUW</t>
  </si>
  <si>
    <t>Liberia</t>
  </si>
  <si>
    <t>LBR</t>
  </si>
  <si>
    <t>Andorra</t>
  </si>
  <si>
    <t>AND</t>
  </si>
  <si>
    <t>Indonesia</t>
  </si>
  <si>
    <t>IDN</t>
  </si>
  <si>
    <t>Dominican Republic</t>
  </si>
  <si>
    <t>DOM</t>
  </si>
  <si>
    <t>Maldives</t>
  </si>
  <si>
    <t>MDV</t>
  </si>
  <si>
    <t>Yemen</t>
  </si>
  <si>
    <t>YEM</t>
  </si>
  <si>
    <t>Afghanistan</t>
  </si>
  <si>
    <t>AFG</t>
  </si>
  <si>
    <t>Chinese Taipei</t>
  </si>
  <si>
    <t>TPE</t>
  </si>
  <si>
    <t>Myanmar</t>
  </si>
  <si>
    <t>MYA</t>
  </si>
  <si>
    <t>Papua New Guinea</t>
  </si>
  <si>
    <t>PNG</t>
  </si>
  <si>
    <t>Singapore</t>
  </si>
  <si>
    <t>SGP</t>
  </si>
  <si>
    <t>New Caledonia</t>
  </si>
  <si>
    <t>NCL</t>
  </si>
  <si>
    <t>Tahiti</t>
  </si>
  <si>
    <t>TAH</t>
  </si>
  <si>
    <t>Fiji</t>
  </si>
  <si>
    <t>FIJ</t>
  </si>
  <si>
    <t>Vanuatu</t>
  </si>
  <si>
    <t>VAN</t>
  </si>
  <si>
    <t>South Sudan</t>
  </si>
  <si>
    <t>SSD</t>
  </si>
  <si>
    <t>Barbados</t>
  </si>
  <si>
    <t>BRB</t>
  </si>
  <si>
    <t>Cuba</t>
  </si>
  <si>
    <t>CUB</t>
  </si>
  <si>
    <t>Malta</t>
  </si>
  <si>
    <t>MLT</t>
  </si>
  <si>
    <t>Bermuda</t>
  </si>
  <si>
    <t>BER</t>
  </si>
  <si>
    <t>Puerto Rico</t>
  </si>
  <si>
    <t>PUR</t>
  </si>
  <si>
    <t>Guyana</t>
  </si>
  <si>
    <t>GUY</t>
  </si>
  <si>
    <t>St Lucia</t>
  </si>
  <si>
    <t>LCA</t>
  </si>
  <si>
    <t>Grenada</t>
  </si>
  <si>
    <t>GRN</t>
  </si>
  <si>
    <t>Moldova</t>
  </si>
  <si>
    <t>MDA</t>
  </si>
  <si>
    <t>Nepal</t>
  </si>
  <si>
    <t>NEP</t>
  </si>
  <si>
    <t>Belize</t>
  </si>
  <si>
    <t>BLZ</t>
  </si>
  <si>
    <t>Cambodia</t>
  </si>
  <si>
    <t>CAM</t>
  </si>
  <si>
    <t>St Vincent and the Grenadines</t>
  </si>
  <si>
    <t>VIN</t>
  </si>
  <si>
    <t>Montserrat</t>
  </si>
  <si>
    <t>MSR</t>
  </si>
  <si>
    <t>Mauritius</t>
  </si>
  <si>
    <t>MRI</t>
  </si>
  <si>
    <t>Chad</t>
  </si>
  <si>
    <t>CHA</t>
  </si>
  <si>
    <t>Macau</t>
  </si>
  <si>
    <t>MAC</t>
  </si>
  <si>
    <t>Mongolia</t>
  </si>
  <si>
    <t>MNG</t>
  </si>
  <si>
    <t>Dominica</t>
  </si>
  <si>
    <t>DMA</t>
  </si>
  <si>
    <t>Bhutan</t>
  </si>
  <si>
    <t>BHU</t>
  </si>
  <si>
    <t>São Tomé and Príncipe</t>
  </si>
  <si>
    <t>STP</t>
  </si>
  <si>
    <t>Laos</t>
  </si>
  <si>
    <t>LAO</t>
  </si>
  <si>
    <t>American Samoa</t>
  </si>
  <si>
    <t>ASA</t>
  </si>
  <si>
    <t>Cook Islands</t>
  </si>
  <si>
    <t>COK</t>
  </si>
  <si>
    <t>Brunei Darussalam</t>
  </si>
  <si>
    <t>BRU</t>
  </si>
  <si>
    <t>Samoa</t>
  </si>
  <si>
    <t>SAM</t>
  </si>
  <si>
    <t>Bangladesh</t>
  </si>
  <si>
    <t>BAN</t>
  </si>
  <si>
    <t>Djibouti</t>
  </si>
  <si>
    <t>DJI</t>
  </si>
  <si>
    <t>Pakistan</t>
  </si>
  <si>
    <t>PAK</t>
  </si>
  <si>
    <t>Cayman Islands</t>
  </si>
  <si>
    <t>CAY</t>
  </si>
  <si>
    <t>Liechtenstein</t>
  </si>
  <si>
    <t>LIE</t>
  </si>
  <si>
    <t>Tonga</t>
  </si>
  <si>
    <t>TGA</t>
  </si>
  <si>
    <t>Timor-Leste</t>
  </si>
  <si>
    <t>TLS</t>
  </si>
  <si>
    <t>Seychelles</t>
  </si>
  <si>
    <t>SEY</t>
  </si>
  <si>
    <t>Eritrea</t>
  </si>
  <si>
    <t>ERI</t>
  </si>
  <si>
    <t>Aruba</t>
  </si>
  <si>
    <t>ARU</t>
  </si>
  <si>
    <t>Bahamas</t>
  </si>
  <si>
    <t>BAH</t>
  </si>
  <si>
    <t>Somalia</t>
  </si>
  <si>
    <t>SOM</t>
  </si>
  <si>
    <t>Gibraltar</t>
  </si>
  <si>
    <t>GIB</t>
  </si>
  <si>
    <t>Guam</t>
  </si>
  <si>
    <t>GUM</t>
  </si>
  <si>
    <t>Turks and Caicos Islands</t>
  </si>
  <si>
    <t>TCA</t>
  </si>
  <si>
    <t>Sri Lanka</t>
  </si>
  <si>
    <t>SRI</t>
  </si>
  <si>
    <t>US Virgin Islands</t>
  </si>
  <si>
    <t>VIR</t>
  </si>
  <si>
    <t>British Virgin Islands</t>
  </si>
  <si>
    <t>VGB</t>
  </si>
  <si>
    <t>Anguilla</t>
  </si>
  <si>
    <t>AIA</t>
  </si>
  <si>
    <t>San Marino</t>
  </si>
  <si>
    <t>SMR</t>
  </si>
  <si>
    <t>Column1</t>
  </si>
  <si>
    <t>Column2</t>
  </si>
  <si>
    <t>Column3</t>
  </si>
  <si>
    <t>Column4</t>
  </si>
  <si>
    <t>Column5</t>
  </si>
  <si>
    <t>Column6</t>
  </si>
  <si>
    <t>Row Labels</t>
  </si>
  <si>
    <t>Grand Total</t>
  </si>
  <si>
    <t>Column Labels</t>
  </si>
  <si>
    <t>Sum of points</t>
  </si>
  <si>
    <t>Sum of rank</t>
  </si>
  <si>
    <t>(All)</t>
  </si>
  <si>
    <t>Sum of previous_points</t>
  </si>
  <si>
    <t>Total Sum of points</t>
  </si>
  <si>
    <t>Total Sum of previous_points</t>
  </si>
  <si>
    <t>Sum of previous_rank</t>
  </si>
  <si>
    <t>Sum of Column1</t>
  </si>
  <si>
    <t>Sum of Column2</t>
  </si>
  <si>
    <t>Count of Column3</t>
  </si>
  <si>
    <t>Sum of Column4</t>
  </si>
  <si>
    <t>Sum of Column5</t>
  </si>
  <si>
    <t>Sum of Column6</t>
  </si>
  <si>
    <t>Total Sum of rank</t>
  </si>
  <si>
    <t>Total Sum of previous_rank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</si>
</sst>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[FIFA-World-Cup.xlsx]fifa_ranking_2022-10-06!PivotTable1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'fifa_ranking_2022-10-06'!$F$258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'fifa_ranking_2022-10-06'!$E$259:$E$470</c:f>
              <c:strCache>
                <c:ptCount val="211"/>
                <c:pt idx="0">
                  <c:v>Afghanistan</c:v>
                </c:pt>
                <c:pt idx="1">
                  <c:v>Albania</c:v>
                </c:pt>
                <c:pt idx="2">
                  <c:v>Algeria</c:v>
                </c:pt>
                <c:pt idx="3">
                  <c:v>American Samoa</c:v>
                </c:pt>
                <c:pt idx="4">
                  <c:v>Andorra</c:v>
                </c:pt>
                <c:pt idx="5">
                  <c:v>Angola</c:v>
                </c:pt>
                <c:pt idx="6">
                  <c:v>Anguilla</c:v>
                </c:pt>
                <c:pt idx="7">
                  <c:v>Antigua and Barbuda</c:v>
                </c:pt>
                <c:pt idx="8">
                  <c:v>Argentina</c:v>
                </c:pt>
                <c:pt idx="9">
                  <c:v>Armenia</c:v>
                </c:pt>
                <c:pt idx="10">
                  <c:v>Aruba</c:v>
                </c:pt>
                <c:pt idx="11">
                  <c:v>Australia</c:v>
                </c:pt>
                <c:pt idx="12">
                  <c:v>Austria</c:v>
                </c:pt>
                <c:pt idx="13">
                  <c:v>Azerbaijan</c:v>
                </c:pt>
                <c:pt idx="14">
                  <c:v>Bahamas</c:v>
                </c:pt>
                <c:pt idx="15">
                  <c:v>Bahrain</c:v>
                </c:pt>
                <c:pt idx="16">
                  <c:v>Bangladesh</c:v>
                </c:pt>
                <c:pt idx="17">
                  <c:v>Barbados</c:v>
                </c:pt>
                <c:pt idx="18">
                  <c:v>Belarus</c:v>
                </c:pt>
                <c:pt idx="19">
                  <c:v>Belgium</c:v>
                </c:pt>
                <c:pt idx="20">
                  <c:v>Belize</c:v>
                </c:pt>
                <c:pt idx="21">
                  <c:v>Benin</c:v>
                </c:pt>
                <c:pt idx="22">
                  <c:v>Bermuda</c:v>
                </c:pt>
                <c:pt idx="23">
                  <c:v>Bhutan</c:v>
                </c:pt>
                <c:pt idx="24">
                  <c:v>Bolivia</c:v>
                </c:pt>
                <c:pt idx="25">
                  <c:v>Bosnia and Herzegovina</c:v>
                </c:pt>
                <c:pt idx="26">
                  <c:v>Botswana</c:v>
                </c:pt>
                <c:pt idx="27">
                  <c:v>Brazil</c:v>
                </c:pt>
                <c:pt idx="28">
                  <c:v>British Virgin Islands</c:v>
                </c:pt>
                <c:pt idx="29">
                  <c:v>Brunei Darussalam</c:v>
                </c:pt>
                <c:pt idx="30">
                  <c:v>Bulgaria</c:v>
                </c:pt>
                <c:pt idx="31">
                  <c:v>Burkina Faso</c:v>
                </c:pt>
                <c:pt idx="32">
                  <c:v>Burundi</c:v>
                </c:pt>
                <c:pt idx="33">
                  <c:v>Cabo Verde</c:v>
                </c:pt>
                <c:pt idx="34">
                  <c:v>Cambodia</c:v>
                </c:pt>
                <c:pt idx="35">
                  <c:v>Cameroon</c:v>
                </c:pt>
                <c:pt idx="36">
                  <c:v>Canada</c:v>
                </c:pt>
                <c:pt idx="37">
                  <c:v>Cayman Islands</c:v>
                </c:pt>
                <c:pt idx="38">
                  <c:v>Central African Republic</c:v>
                </c:pt>
                <c:pt idx="39">
                  <c:v>Chad</c:v>
                </c:pt>
                <c:pt idx="40">
                  <c:v>Chile</c:v>
                </c:pt>
                <c:pt idx="41">
                  <c:v>China PR</c:v>
                </c:pt>
                <c:pt idx="42">
                  <c:v>Chinese Taipei</c:v>
                </c:pt>
                <c:pt idx="43">
                  <c:v>Colombia</c:v>
                </c:pt>
                <c:pt idx="44">
                  <c:v>Comoros</c:v>
                </c:pt>
                <c:pt idx="45">
                  <c:v>Congo</c:v>
                </c:pt>
                <c:pt idx="46">
                  <c:v>Congo DR</c:v>
                </c:pt>
                <c:pt idx="47">
                  <c:v>Cook Islands</c:v>
                </c:pt>
                <c:pt idx="48">
                  <c:v>Costa Rica</c:v>
                </c:pt>
                <c:pt idx="49">
                  <c:v>Côte d'Ivoire</c:v>
                </c:pt>
                <c:pt idx="50">
                  <c:v>Croatia</c:v>
                </c:pt>
                <c:pt idx="51">
                  <c:v>Cuba</c:v>
                </c:pt>
                <c:pt idx="52">
                  <c:v>Curaçao</c:v>
                </c:pt>
                <c:pt idx="53">
                  <c:v>Cyprus</c:v>
                </c:pt>
                <c:pt idx="54">
                  <c:v>Czechia</c:v>
                </c:pt>
                <c:pt idx="55">
                  <c:v>Denmark</c:v>
                </c:pt>
                <c:pt idx="56">
                  <c:v>Djibouti</c:v>
                </c:pt>
                <c:pt idx="57">
                  <c:v>Dominica</c:v>
                </c:pt>
                <c:pt idx="58">
                  <c:v>Dominican Republic</c:v>
                </c:pt>
                <c:pt idx="59">
                  <c:v>Ecuador</c:v>
                </c:pt>
                <c:pt idx="60">
                  <c:v>Egypt</c:v>
                </c:pt>
                <c:pt idx="61">
                  <c:v>El Salvador</c:v>
                </c:pt>
                <c:pt idx="62">
                  <c:v>England</c:v>
                </c:pt>
                <c:pt idx="63">
                  <c:v>Equatorial Guinea</c:v>
                </c:pt>
                <c:pt idx="64">
                  <c:v>Eritrea</c:v>
                </c:pt>
                <c:pt idx="65">
                  <c:v>Estonia</c:v>
                </c:pt>
                <c:pt idx="66">
                  <c:v>Eswatini</c:v>
                </c:pt>
                <c:pt idx="67">
                  <c:v>Ethiopia</c:v>
                </c:pt>
                <c:pt idx="68">
                  <c:v>Faroe Islands</c:v>
                </c:pt>
                <c:pt idx="69">
                  <c:v>Fiji</c:v>
                </c:pt>
                <c:pt idx="70">
                  <c:v>Finland</c:v>
                </c:pt>
                <c:pt idx="71">
                  <c:v>France</c:v>
                </c:pt>
                <c:pt idx="72">
                  <c:v>Gabon</c:v>
                </c:pt>
                <c:pt idx="73">
                  <c:v>Georgia</c:v>
                </c:pt>
                <c:pt idx="74">
                  <c:v>Germany</c:v>
                </c:pt>
                <c:pt idx="75">
                  <c:v>Ghana</c:v>
                </c:pt>
                <c:pt idx="76">
                  <c:v>Gibraltar</c:v>
                </c:pt>
                <c:pt idx="77">
                  <c:v>Greece</c:v>
                </c:pt>
                <c:pt idx="78">
                  <c:v>Grenada</c:v>
                </c:pt>
                <c:pt idx="79">
                  <c:v>Guam</c:v>
                </c:pt>
                <c:pt idx="80">
                  <c:v>Guatemala</c:v>
                </c:pt>
                <c:pt idx="81">
                  <c:v>Guinea</c:v>
                </c:pt>
                <c:pt idx="82">
                  <c:v>Guinea-Bissau</c:v>
                </c:pt>
                <c:pt idx="83">
                  <c:v>Guyana</c:v>
                </c:pt>
                <c:pt idx="84">
                  <c:v>Haiti</c:v>
                </c:pt>
                <c:pt idx="85">
                  <c:v>Honduras</c:v>
                </c:pt>
                <c:pt idx="86">
                  <c:v>Hong Kong</c:v>
                </c:pt>
                <c:pt idx="87">
                  <c:v>Hungary</c:v>
                </c:pt>
                <c:pt idx="88">
                  <c:v>Iceland</c:v>
                </c:pt>
                <c:pt idx="89">
                  <c:v>India</c:v>
                </c:pt>
                <c:pt idx="90">
                  <c:v>Indonesia</c:v>
                </c:pt>
                <c:pt idx="91">
                  <c:v>IR Iran</c:v>
                </c:pt>
                <c:pt idx="92">
                  <c:v>Iraq</c:v>
                </c:pt>
                <c:pt idx="93">
                  <c:v>Israel</c:v>
                </c:pt>
                <c:pt idx="94">
                  <c:v>Italy</c:v>
                </c:pt>
                <c:pt idx="95">
                  <c:v>Jamaica</c:v>
                </c:pt>
                <c:pt idx="96">
                  <c:v>Japan</c:v>
                </c:pt>
                <c:pt idx="97">
                  <c:v>Jordan</c:v>
                </c:pt>
                <c:pt idx="98">
                  <c:v>Kazakhstan</c:v>
                </c:pt>
                <c:pt idx="99">
                  <c:v>Kenya</c:v>
                </c:pt>
                <c:pt idx="100">
                  <c:v>Korea DPR</c:v>
                </c:pt>
                <c:pt idx="101">
                  <c:v>Korea Republic</c:v>
                </c:pt>
                <c:pt idx="102">
                  <c:v>Kosovo</c:v>
                </c:pt>
                <c:pt idx="103">
                  <c:v>Kuwait</c:v>
                </c:pt>
                <c:pt idx="104">
                  <c:v>Kyrgyz Republic</c:v>
                </c:pt>
                <c:pt idx="105">
                  <c:v>Laos</c:v>
                </c:pt>
                <c:pt idx="106">
                  <c:v>Latvia</c:v>
                </c:pt>
                <c:pt idx="107">
                  <c:v>Lebanon</c:v>
                </c:pt>
                <c:pt idx="108">
                  <c:v>Lesotho</c:v>
                </c:pt>
                <c:pt idx="109">
                  <c:v>Liberia</c:v>
                </c:pt>
                <c:pt idx="110">
                  <c:v>Libya</c:v>
                </c:pt>
                <c:pt idx="111">
                  <c:v>Liechtenstein</c:v>
                </c:pt>
                <c:pt idx="112">
                  <c:v>Lithuania</c:v>
                </c:pt>
                <c:pt idx="113">
                  <c:v>Luxembourg</c:v>
                </c:pt>
                <c:pt idx="114">
                  <c:v>Macau</c:v>
                </c:pt>
                <c:pt idx="115">
                  <c:v>Madagascar</c:v>
                </c:pt>
                <c:pt idx="116">
                  <c:v>Malawi</c:v>
                </c:pt>
                <c:pt idx="117">
                  <c:v>Malaysia</c:v>
                </c:pt>
                <c:pt idx="118">
                  <c:v>Maldives</c:v>
                </c:pt>
                <c:pt idx="119">
                  <c:v>Mali</c:v>
                </c:pt>
                <c:pt idx="120">
                  <c:v>Malta</c:v>
                </c:pt>
                <c:pt idx="121">
                  <c:v>Mauritania</c:v>
                </c:pt>
                <c:pt idx="122">
                  <c:v>Mauritius</c:v>
                </c:pt>
                <c:pt idx="123">
                  <c:v>Mexico</c:v>
                </c:pt>
                <c:pt idx="124">
                  <c:v>Moldova</c:v>
                </c:pt>
                <c:pt idx="125">
                  <c:v>Mongolia</c:v>
                </c:pt>
                <c:pt idx="126">
                  <c:v>Montenegro</c:v>
                </c:pt>
                <c:pt idx="127">
                  <c:v>Montserrat</c:v>
                </c:pt>
                <c:pt idx="128">
                  <c:v>Morocco</c:v>
                </c:pt>
                <c:pt idx="129">
                  <c:v>Mozambique</c:v>
                </c:pt>
                <c:pt idx="130">
                  <c:v>Myanmar</c:v>
                </c:pt>
                <c:pt idx="131">
                  <c:v>Namibia</c:v>
                </c:pt>
                <c:pt idx="132">
                  <c:v>Nepal</c:v>
                </c:pt>
                <c:pt idx="133">
                  <c:v>Netherlands</c:v>
                </c:pt>
                <c:pt idx="134">
                  <c:v>New Caledonia</c:v>
                </c:pt>
                <c:pt idx="135">
                  <c:v>New Zealand</c:v>
                </c:pt>
                <c:pt idx="136">
                  <c:v>Nicaragua</c:v>
                </c:pt>
                <c:pt idx="137">
                  <c:v>Niger</c:v>
                </c:pt>
                <c:pt idx="138">
                  <c:v>Nigeria</c:v>
                </c:pt>
                <c:pt idx="139">
                  <c:v>North Macedonia</c:v>
                </c:pt>
                <c:pt idx="140">
                  <c:v>Northern Ireland</c:v>
                </c:pt>
                <c:pt idx="141">
                  <c:v>Norway</c:v>
                </c:pt>
                <c:pt idx="142">
                  <c:v>Oman</c:v>
                </c:pt>
                <c:pt idx="143">
                  <c:v>Pakistan</c:v>
                </c:pt>
                <c:pt idx="144">
                  <c:v>Palestine</c:v>
                </c:pt>
                <c:pt idx="145">
                  <c:v>Panama</c:v>
                </c:pt>
                <c:pt idx="146">
                  <c:v>Papua New Guinea</c:v>
                </c:pt>
                <c:pt idx="147">
                  <c:v>Paraguay</c:v>
                </c:pt>
                <c:pt idx="148">
                  <c:v>Peru</c:v>
                </c:pt>
                <c:pt idx="149">
                  <c:v>Philippines</c:v>
                </c:pt>
                <c:pt idx="150">
                  <c:v>Poland</c:v>
                </c:pt>
                <c:pt idx="151">
                  <c:v>Portugal</c:v>
                </c:pt>
                <c:pt idx="152">
                  <c:v>Puerto Rico</c:v>
                </c:pt>
                <c:pt idx="153">
                  <c:v>Qatar</c:v>
                </c:pt>
                <c:pt idx="154">
                  <c:v>Republic of Ireland</c:v>
                </c:pt>
                <c:pt idx="155">
                  <c:v>Romania</c:v>
                </c:pt>
                <c:pt idx="156">
                  <c:v>Russia</c:v>
                </c:pt>
                <c:pt idx="157">
                  <c:v>Rwanda</c:v>
                </c:pt>
                <c:pt idx="158">
                  <c:v>Samoa</c:v>
                </c:pt>
                <c:pt idx="159">
                  <c:v>San Marino</c:v>
                </c:pt>
                <c:pt idx="160">
                  <c:v>São Tomé and Príncipe</c:v>
                </c:pt>
                <c:pt idx="161">
                  <c:v>Saudi Arabia</c:v>
                </c:pt>
                <c:pt idx="162">
                  <c:v>Scotland</c:v>
                </c:pt>
                <c:pt idx="163">
                  <c:v>Senegal</c:v>
                </c:pt>
                <c:pt idx="164">
                  <c:v>Serbia</c:v>
                </c:pt>
                <c:pt idx="165">
                  <c:v>Seychelles</c:v>
                </c:pt>
                <c:pt idx="166">
                  <c:v>Sierra Leone</c:v>
                </c:pt>
                <c:pt idx="167">
                  <c:v>Singapore</c:v>
                </c:pt>
                <c:pt idx="168">
                  <c:v>Slovakia</c:v>
                </c:pt>
                <c:pt idx="169">
                  <c:v>Slovenia</c:v>
                </c:pt>
                <c:pt idx="170">
                  <c:v>Solomon Islands</c:v>
                </c:pt>
                <c:pt idx="171">
                  <c:v>Somalia</c:v>
                </c:pt>
                <c:pt idx="172">
                  <c:v>South Africa</c:v>
                </c:pt>
                <c:pt idx="173">
                  <c:v>South Sudan</c:v>
                </c:pt>
                <c:pt idx="174">
                  <c:v>Spain</c:v>
                </c:pt>
                <c:pt idx="175">
                  <c:v>Sri Lanka</c:v>
                </c:pt>
                <c:pt idx="176">
                  <c:v>St Kitts and Nevis</c:v>
                </c:pt>
                <c:pt idx="177">
                  <c:v>St Lucia</c:v>
                </c:pt>
                <c:pt idx="178">
                  <c:v>St Vincent and the Grenadines</c:v>
                </c:pt>
                <c:pt idx="179">
                  <c:v>Sudan</c:v>
                </c:pt>
                <c:pt idx="180">
                  <c:v>Suriname</c:v>
                </c:pt>
                <c:pt idx="181">
                  <c:v>Sweden</c:v>
                </c:pt>
                <c:pt idx="182">
                  <c:v>Switzerland</c:v>
                </c:pt>
                <c:pt idx="183">
                  <c:v>Syria</c:v>
                </c:pt>
                <c:pt idx="184">
                  <c:v>Tahiti</c:v>
                </c:pt>
                <c:pt idx="185">
                  <c:v>Tajikistan</c:v>
                </c:pt>
                <c:pt idx="186">
                  <c:v>Tanzania</c:v>
                </c:pt>
                <c:pt idx="187">
                  <c:v>Thailand</c:v>
                </c:pt>
                <c:pt idx="188">
                  <c:v>The Gambia</c:v>
                </c:pt>
                <c:pt idx="189">
                  <c:v>Timor-Leste</c:v>
                </c:pt>
                <c:pt idx="190">
                  <c:v>Togo</c:v>
                </c:pt>
                <c:pt idx="191">
                  <c:v>Tonga</c:v>
                </c:pt>
                <c:pt idx="192">
                  <c:v>Trinidad and Tobago</c:v>
                </c:pt>
                <c:pt idx="193">
                  <c:v>Tunisia</c:v>
                </c:pt>
                <c:pt idx="194">
                  <c:v>Türkiye</c:v>
                </c:pt>
                <c:pt idx="195">
                  <c:v>Turkmenistan</c:v>
                </c:pt>
                <c:pt idx="196">
                  <c:v>Turks and Caicos Islands</c:v>
                </c:pt>
                <c:pt idx="197">
                  <c:v>Uganda</c:v>
                </c:pt>
                <c:pt idx="198">
                  <c:v>Ukraine</c:v>
                </c:pt>
                <c:pt idx="199">
                  <c:v>United Arab Emirates</c:v>
                </c:pt>
                <c:pt idx="200">
                  <c:v>Uruguay</c:v>
                </c:pt>
                <c:pt idx="201">
                  <c:v>US Virgin Islands</c:v>
                </c:pt>
                <c:pt idx="202">
                  <c:v>USA</c:v>
                </c:pt>
                <c:pt idx="203">
                  <c:v>Uzbekistan</c:v>
                </c:pt>
                <c:pt idx="204">
                  <c:v>Vanuatu</c:v>
                </c:pt>
                <c:pt idx="205">
                  <c:v>Venezuela</c:v>
                </c:pt>
                <c:pt idx="206">
                  <c:v>Vietnam</c:v>
                </c:pt>
                <c:pt idx="207">
                  <c:v>Wales</c:v>
                </c:pt>
                <c:pt idx="208">
                  <c:v>Yemen</c:v>
                </c:pt>
                <c:pt idx="209">
                  <c:v>Zambia</c:v>
                </c:pt>
                <c:pt idx="210">
                  <c:v>Zimbabwe</c:v>
                </c:pt>
              </c:strCache>
            </c:strRef>
          </c:cat>
          <c:val>
            <c:numRef>
              <c:f>'fifa_ranking_2022-10-06'!$F$259:$F$470</c:f>
              <c:numCache>
                <c:formatCode>General</c:formatCode>
                <c:ptCount val="211"/>
                <c:pt idx="0">
                  <c:v>1023.04</c:v>
                </c:pt>
                <c:pt idx="1">
                  <c:v>1354.11</c:v>
                </c:pt>
                <c:pt idx="2">
                  <c:v>1489.1</c:v>
                </c:pt>
                <c:pt idx="3">
                  <c:v>900.27</c:v>
                </c:pt>
                <c:pt idx="4">
                  <c:v>1035.2</c:v>
                </c:pt>
                <c:pt idx="5">
                  <c:v>1155.9000000000001</c:v>
                </c:pt>
                <c:pt idx="6">
                  <c:v>790.74</c:v>
                </c:pt>
                <c:pt idx="7">
                  <c:v>1117.01</c:v>
                </c:pt>
                <c:pt idx="8">
                  <c:v>1773.88</c:v>
                </c:pt>
                <c:pt idx="9">
                  <c:v>1233.93</c:v>
                </c:pt>
                <c:pt idx="10">
                  <c:v>855.37</c:v>
                </c:pt>
                <c:pt idx="11">
                  <c:v>1488.72</c:v>
                </c:pt>
                <c:pt idx="12">
                  <c:v>1492.95</c:v>
                </c:pt>
                <c:pt idx="13">
                  <c:v>1146.72</c:v>
                </c:pt>
                <c:pt idx="14">
                  <c:v>854.8</c:v>
                </c:pt>
                <c:pt idx="15">
                  <c:v>1280.6400000000001</c:v>
                </c:pt>
                <c:pt idx="16">
                  <c:v>884.45</c:v>
                </c:pt>
                <c:pt idx="17">
                  <c:v>982.27</c:v>
                </c:pt>
                <c:pt idx="18">
                  <c:v>1221.06</c:v>
                </c:pt>
                <c:pt idx="19">
                  <c:v>1816.71</c:v>
                </c:pt>
                <c:pt idx="20">
                  <c:v>950.88</c:v>
                </c:pt>
                <c:pt idx="21">
                  <c:v>1247.47</c:v>
                </c:pt>
                <c:pt idx="22">
                  <c:v>977.47</c:v>
                </c:pt>
                <c:pt idx="23">
                  <c:v>910.96</c:v>
                </c:pt>
                <c:pt idx="24">
                  <c:v>1296.28</c:v>
                </c:pt>
                <c:pt idx="25">
                  <c:v>1403.51</c:v>
                </c:pt>
                <c:pt idx="26">
                  <c:v>1056.46</c:v>
                </c:pt>
                <c:pt idx="27">
                  <c:v>1841.3</c:v>
                </c:pt>
                <c:pt idx="28">
                  <c:v>809.32</c:v>
                </c:pt>
                <c:pt idx="29">
                  <c:v>898.41</c:v>
                </c:pt>
                <c:pt idx="30">
                  <c:v>1335.36</c:v>
                </c:pt>
                <c:pt idx="31">
                  <c:v>1432.25</c:v>
                </c:pt>
                <c:pt idx="32">
                  <c:v>1076.26</c:v>
                </c:pt>
                <c:pt idx="33">
                  <c:v>1336.05</c:v>
                </c:pt>
                <c:pt idx="34">
                  <c:v>948.62</c:v>
                </c:pt>
                <c:pt idx="35">
                  <c:v>1471.44</c:v>
                </c:pt>
                <c:pt idx="36">
                  <c:v>1475</c:v>
                </c:pt>
                <c:pt idx="37">
                  <c:v>865.72</c:v>
                </c:pt>
                <c:pt idx="38">
                  <c:v>1116.97</c:v>
                </c:pt>
                <c:pt idx="39">
                  <c:v>930.22</c:v>
                </c:pt>
                <c:pt idx="40">
                  <c:v>1509.61</c:v>
                </c:pt>
                <c:pt idx="41">
                  <c:v>1305.06</c:v>
                </c:pt>
                <c:pt idx="42">
                  <c:v>1017.78</c:v>
                </c:pt>
                <c:pt idx="43">
                  <c:v>1611.04</c:v>
                </c:pt>
                <c:pt idx="44">
                  <c:v>1123.18</c:v>
                </c:pt>
                <c:pt idx="45">
                  <c:v>1208.79</c:v>
                </c:pt>
                <c:pt idx="46">
                  <c:v>1333.92</c:v>
                </c:pt>
                <c:pt idx="47">
                  <c:v>899.33</c:v>
                </c:pt>
                <c:pt idx="48">
                  <c:v>1503.59</c:v>
                </c:pt>
                <c:pt idx="49">
                  <c:v>1443.06</c:v>
                </c:pt>
                <c:pt idx="50">
                  <c:v>1645.64</c:v>
                </c:pt>
                <c:pt idx="51">
                  <c:v>978.65</c:v>
                </c:pt>
                <c:pt idx="52">
                  <c:v>1278.6400000000001</c:v>
                </c:pt>
                <c:pt idx="53">
                  <c:v>1183.82</c:v>
                </c:pt>
                <c:pt idx="54">
                  <c:v>1492.21</c:v>
                </c:pt>
                <c:pt idx="55">
                  <c:v>1666.57</c:v>
                </c:pt>
                <c:pt idx="56">
                  <c:v>875.05</c:v>
                </c:pt>
                <c:pt idx="57">
                  <c:v>911.51</c:v>
                </c:pt>
                <c:pt idx="58">
                  <c:v>1031.8599999999999</c:v>
                </c:pt>
                <c:pt idx="59">
                  <c:v>1464.39</c:v>
                </c:pt>
                <c:pt idx="60">
                  <c:v>1486.44</c:v>
                </c:pt>
                <c:pt idx="61">
                  <c:v>1330.51</c:v>
                </c:pt>
                <c:pt idx="62">
                  <c:v>1728.47</c:v>
                </c:pt>
                <c:pt idx="63">
                  <c:v>1215.6600000000001</c:v>
                </c:pt>
                <c:pt idx="64">
                  <c:v>855.56</c:v>
                </c:pt>
                <c:pt idx="65">
                  <c:v>1184.6400000000001</c:v>
                </c:pt>
                <c:pt idx="66">
                  <c:v>1070.8900000000001</c:v>
                </c:pt>
                <c:pt idx="67">
                  <c:v>1091.19</c:v>
                </c:pt>
                <c:pt idx="68">
                  <c:v>1147.17</c:v>
                </c:pt>
                <c:pt idx="69">
                  <c:v>989.43</c:v>
                </c:pt>
                <c:pt idx="70">
                  <c:v>1405.6</c:v>
                </c:pt>
                <c:pt idx="71">
                  <c:v>1759.78</c:v>
                </c:pt>
                <c:pt idx="72">
                  <c:v>1301.8399999999999</c:v>
                </c:pt>
                <c:pt idx="73">
                  <c:v>1307.3399999999999</c:v>
                </c:pt>
                <c:pt idx="74">
                  <c:v>1650.21</c:v>
                </c:pt>
                <c:pt idx="75">
                  <c:v>1393</c:v>
                </c:pt>
                <c:pt idx="76">
                  <c:v>852.16</c:v>
                </c:pt>
                <c:pt idx="77">
                  <c:v>1437.6</c:v>
                </c:pt>
                <c:pt idx="78">
                  <c:v>963.72</c:v>
                </c:pt>
                <c:pt idx="79">
                  <c:v>838.33</c:v>
                </c:pt>
                <c:pt idx="80">
                  <c:v>1156.7</c:v>
                </c:pt>
                <c:pt idx="81">
                  <c:v>1290.47</c:v>
                </c:pt>
                <c:pt idx="82">
                  <c:v>1160.71</c:v>
                </c:pt>
                <c:pt idx="83">
                  <c:v>968.74</c:v>
                </c:pt>
                <c:pt idx="84">
                  <c:v>1269.07</c:v>
                </c:pt>
                <c:pt idx="85">
                  <c:v>1301.98</c:v>
                </c:pt>
                <c:pt idx="86">
                  <c:v>1062.3900000000001</c:v>
                </c:pt>
                <c:pt idx="87">
                  <c:v>1492.2</c:v>
                </c:pt>
                <c:pt idx="88">
                  <c:v>1384.41</c:v>
                </c:pt>
                <c:pt idx="89">
                  <c:v>1192.0899999999999</c:v>
                </c:pt>
                <c:pt idx="90">
                  <c:v>1033.9000000000001</c:v>
                </c:pt>
                <c:pt idx="91">
                  <c:v>1564.61</c:v>
                </c:pt>
                <c:pt idx="92">
                  <c:v>1343.01</c:v>
                </c:pt>
                <c:pt idx="93">
                  <c:v>1316.55</c:v>
                </c:pt>
                <c:pt idx="94">
                  <c:v>1726.14</c:v>
                </c:pt>
                <c:pt idx="95">
                  <c:v>1378.86</c:v>
                </c:pt>
                <c:pt idx="96">
                  <c:v>1559.54</c:v>
                </c:pt>
                <c:pt idx="97">
                  <c:v>1289.99</c:v>
                </c:pt>
                <c:pt idx="98">
                  <c:v>1166.6300000000001</c:v>
                </c:pt>
                <c:pt idx="99">
                  <c:v>1202.26</c:v>
                </c:pt>
                <c:pt idx="100">
                  <c:v>1169.96</c:v>
                </c:pt>
                <c:pt idx="101">
                  <c:v>1530.3</c:v>
                </c:pt>
                <c:pt idx="102">
                  <c:v>1187.01</c:v>
                </c:pt>
                <c:pt idx="103">
                  <c:v>1053.4100000000001</c:v>
                </c:pt>
                <c:pt idx="104">
                  <c:v>1230.22</c:v>
                </c:pt>
                <c:pt idx="105">
                  <c:v>905.51</c:v>
                </c:pt>
                <c:pt idx="106">
                  <c:v>1114.21</c:v>
                </c:pt>
                <c:pt idx="107">
                  <c:v>1211.71</c:v>
                </c:pt>
                <c:pt idx="108">
                  <c:v>1061.4000000000001</c:v>
                </c:pt>
                <c:pt idx="109">
                  <c:v>1049.6600000000001</c:v>
                </c:pt>
                <c:pt idx="110">
                  <c:v>1154.25</c:v>
                </c:pt>
                <c:pt idx="111">
                  <c:v>862.39</c:v>
                </c:pt>
                <c:pt idx="112">
                  <c:v>1069.75</c:v>
                </c:pt>
                <c:pt idx="113">
                  <c:v>1243.8</c:v>
                </c:pt>
                <c:pt idx="114">
                  <c:v>922.1</c:v>
                </c:pt>
                <c:pt idx="115">
                  <c:v>1200.74</c:v>
                </c:pt>
                <c:pt idx="116">
                  <c:v>1144.97</c:v>
                </c:pt>
                <c:pt idx="117">
                  <c:v>1062.32</c:v>
                </c:pt>
                <c:pt idx="118">
                  <c:v>1026.0899999999999</c:v>
                </c:pt>
                <c:pt idx="119">
                  <c:v>1448.85</c:v>
                </c:pt>
                <c:pt idx="120">
                  <c:v>977.92</c:v>
                </c:pt>
                <c:pt idx="121">
                  <c:v>1197.58</c:v>
                </c:pt>
                <c:pt idx="122">
                  <c:v>932.02</c:v>
                </c:pt>
                <c:pt idx="123">
                  <c:v>1644.89</c:v>
                </c:pt>
                <c:pt idx="124">
                  <c:v>961.23</c:v>
                </c:pt>
                <c:pt idx="125">
                  <c:v>913.55</c:v>
                </c:pt>
                <c:pt idx="126">
                  <c:v>1341.03</c:v>
                </c:pt>
                <c:pt idx="127">
                  <c:v>940.78</c:v>
                </c:pt>
                <c:pt idx="128">
                  <c:v>1563.5</c:v>
                </c:pt>
                <c:pt idx="129">
                  <c:v>1165.22</c:v>
                </c:pt>
                <c:pt idx="130">
                  <c:v>1007.89</c:v>
                </c:pt>
                <c:pt idx="131">
                  <c:v>1164.1300000000001</c:v>
                </c:pt>
                <c:pt idx="132">
                  <c:v>954.86</c:v>
                </c:pt>
                <c:pt idx="133">
                  <c:v>1694.51</c:v>
                </c:pt>
                <c:pt idx="134">
                  <c:v>995.58</c:v>
                </c:pt>
                <c:pt idx="135">
                  <c:v>1193.98</c:v>
                </c:pt>
                <c:pt idx="136">
                  <c:v>1071.83</c:v>
                </c:pt>
                <c:pt idx="137">
                  <c:v>1152.8</c:v>
                </c:pt>
                <c:pt idx="138">
                  <c:v>1498.47</c:v>
                </c:pt>
                <c:pt idx="139">
                  <c:v>1358.51</c:v>
                </c:pt>
                <c:pt idx="140">
                  <c:v>1396.55</c:v>
                </c:pt>
                <c:pt idx="141">
                  <c:v>1473.04</c:v>
                </c:pt>
                <c:pt idx="142">
                  <c:v>1320.29</c:v>
                </c:pt>
                <c:pt idx="143">
                  <c:v>866.81</c:v>
                </c:pt>
                <c:pt idx="144">
                  <c:v>1233.72</c:v>
                </c:pt>
                <c:pt idx="145">
                  <c:v>1393.28</c:v>
                </c:pt>
                <c:pt idx="146">
                  <c:v>1007.46</c:v>
                </c:pt>
                <c:pt idx="147">
                  <c:v>1448.77</c:v>
                </c:pt>
                <c:pt idx="148">
                  <c:v>1561.01</c:v>
                </c:pt>
                <c:pt idx="149">
                  <c:v>1115.1300000000001</c:v>
                </c:pt>
                <c:pt idx="150">
                  <c:v>1548.59</c:v>
                </c:pt>
                <c:pt idx="151">
                  <c:v>1676.56</c:v>
                </c:pt>
                <c:pt idx="152">
                  <c:v>974.32</c:v>
                </c:pt>
                <c:pt idx="153">
                  <c:v>1439.89</c:v>
                </c:pt>
                <c:pt idx="154">
                  <c:v>1440.19</c:v>
                </c:pt>
                <c:pt idx="155">
                  <c:v>1434.68</c:v>
                </c:pt>
                <c:pt idx="156">
                  <c:v>1496.11</c:v>
                </c:pt>
                <c:pt idx="157">
                  <c:v>1093.6600000000001</c:v>
                </c:pt>
                <c:pt idx="158">
                  <c:v>894.26</c:v>
                </c:pt>
                <c:pt idx="159">
                  <c:v>762.22</c:v>
                </c:pt>
                <c:pt idx="160">
                  <c:v>908.18</c:v>
                </c:pt>
                <c:pt idx="161">
                  <c:v>1437.78</c:v>
                </c:pt>
                <c:pt idx="162">
                  <c:v>1479.53</c:v>
                </c:pt>
                <c:pt idx="163">
                  <c:v>1584.38</c:v>
                </c:pt>
                <c:pt idx="164">
                  <c:v>1563.62</c:v>
                </c:pt>
                <c:pt idx="165">
                  <c:v>859.56</c:v>
                </c:pt>
                <c:pt idx="166">
                  <c:v>1160.31</c:v>
                </c:pt>
                <c:pt idx="167">
                  <c:v>1003.5</c:v>
                </c:pt>
                <c:pt idx="168">
                  <c:v>1425.59</c:v>
                </c:pt>
                <c:pt idx="169">
                  <c:v>1384.04</c:v>
                </c:pt>
                <c:pt idx="170">
                  <c:v>1095.7</c:v>
                </c:pt>
                <c:pt idx="171">
                  <c:v>854.72</c:v>
                </c:pt>
                <c:pt idx="172">
                  <c:v>1349.59</c:v>
                </c:pt>
                <c:pt idx="173">
                  <c:v>983.99</c:v>
                </c:pt>
                <c:pt idx="174">
                  <c:v>1715.22</c:v>
                </c:pt>
                <c:pt idx="175">
                  <c:v>825.25</c:v>
                </c:pt>
                <c:pt idx="176">
                  <c:v>1076.9100000000001</c:v>
                </c:pt>
                <c:pt idx="177">
                  <c:v>965.66</c:v>
                </c:pt>
                <c:pt idx="178">
                  <c:v>945.25</c:v>
                </c:pt>
                <c:pt idx="179">
                  <c:v>1127.3399999999999</c:v>
                </c:pt>
                <c:pt idx="180">
                  <c:v>1077.3</c:v>
                </c:pt>
                <c:pt idx="181">
                  <c:v>1553.33</c:v>
                </c:pt>
                <c:pt idx="182">
                  <c:v>1635.92</c:v>
                </c:pt>
                <c:pt idx="183">
                  <c:v>1255.92</c:v>
                </c:pt>
                <c:pt idx="184">
                  <c:v>995.11</c:v>
                </c:pt>
                <c:pt idx="185">
                  <c:v>1185.7</c:v>
                </c:pt>
                <c:pt idx="186">
                  <c:v>1119.8900000000001</c:v>
                </c:pt>
                <c:pt idx="187">
                  <c:v>1174.92</c:v>
                </c:pt>
                <c:pt idx="188">
                  <c:v>1137.47</c:v>
                </c:pt>
                <c:pt idx="189">
                  <c:v>860.06</c:v>
                </c:pt>
                <c:pt idx="190">
                  <c:v>1128.92</c:v>
                </c:pt>
                <c:pt idx="191">
                  <c:v>861.81</c:v>
                </c:pt>
                <c:pt idx="192">
                  <c:v>1195.29</c:v>
                </c:pt>
                <c:pt idx="193">
                  <c:v>1507.54</c:v>
                </c:pt>
                <c:pt idx="194">
                  <c:v>1460.14</c:v>
                </c:pt>
                <c:pt idx="195">
                  <c:v>1100.47</c:v>
                </c:pt>
                <c:pt idx="196">
                  <c:v>832</c:v>
                </c:pt>
                <c:pt idx="197">
                  <c:v>1260.69</c:v>
                </c:pt>
                <c:pt idx="198">
                  <c:v>1536.99</c:v>
                </c:pt>
                <c:pt idx="199">
                  <c:v>1337.57</c:v>
                </c:pt>
                <c:pt idx="200">
                  <c:v>1638.71</c:v>
                </c:pt>
                <c:pt idx="201">
                  <c:v>823.97</c:v>
                </c:pt>
                <c:pt idx="202">
                  <c:v>1627.48</c:v>
                </c:pt>
                <c:pt idx="203">
                  <c:v>1309.98</c:v>
                </c:pt>
                <c:pt idx="204">
                  <c:v>985.62</c:v>
                </c:pt>
                <c:pt idx="205">
                  <c:v>1404.37</c:v>
                </c:pt>
                <c:pt idx="206">
                  <c:v>1226.6500000000001</c:v>
                </c:pt>
                <c:pt idx="207">
                  <c:v>1569.82</c:v>
                </c:pt>
                <c:pt idx="208">
                  <c:v>1023.52</c:v>
                </c:pt>
                <c:pt idx="209">
                  <c:v>1267.4100000000001</c:v>
                </c:pt>
                <c:pt idx="210">
                  <c:v>1138.56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F-FD48-9C97-C29991C12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7190207"/>
        <c:axId val="317176287"/>
      </c:barChart>
      <c:catAx>
        <c:axId val="31719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176287"/>
        <c:crosses val="autoZero"/>
        <c:auto val="1"/>
        <c:lblAlgn val="ctr"/>
        <c:lblOffset val="100"/>
        <c:noMultiLvlLbl val="0"/>
      </c:catAx>
      <c:valAx>
        <c:axId val="31717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19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209550</xdr:colOff>
      <xdr:row>0</xdr:row>
      <xdr:rowOff>50800</xdr:rowOff>
    </xdr:from>
    <xdr:to>
      <xdr:col>23</xdr:col>
      <xdr:colOff>63500</xdr:colOff>
      <xdr:row>13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3C6FC9-7FD0-C67E-4078-A21FDE0CA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a Lakhdissi" refreshedDate="46256.52190266204" createdVersion="8" refreshedVersion="8" minRefreshableVersion="3" recordCount="211" xr:uid="{87060F6E-1FF1-0C4A-A58C-A28B09C53F39}">
  <cacheSource type="worksheet">
    <worksheetSource name="fifa_ranking_2022_10_06"/>
  </cacheSource>
  <cacheFields count="13">
    <cacheField name="team" numFmtId="0">
      <sharedItems count="211">
        <s v="Brazil"/>
        <s v="Belgium"/>
        <s v="Argentina"/>
        <s v="France"/>
        <s v="England"/>
        <s v="Italy"/>
        <s v="Spain"/>
        <s v="Netherlands"/>
        <s v="Portugal"/>
        <s v="Denmark"/>
        <s v="Germany"/>
        <s v="Croatia"/>
        <s v="Mexico"/>
        <s v="Uruguay"/>
        <s v="Switzerland"/>
        <s v="USA"/>
        <s v="Colombia"/>
        <s v="Senegal"/>
        <s v="Wales"/>
        <s v="IR Iran"/>
        <s v="Serbia"/>
        <s v="Morocco"/>
        <s v="Peru"/>
        <s v="Japan"/>
        <s v="Sweden"/>
        <s v="Poland"/>
        <s v="Ukraine"/>
        <s v="Korea Republic"/>
        <s v="Chile"/>
        <s v="Tunisia"/>
        <s v="Costa Rica"/>
        <s v="Nigeria"/>
        <s v="Russia"/>
        <s v="Austria"/>
        <s v="Czechia"/>
        <s v="Hungary"/>
        <s v="Algeria"/>
        <s v="Australia"/>
        <s v="Egypt"/>
        <s v="Scotland"/>
        <s v="Canada"/>
        <s v="Norway"/>
        <s v="Cameroon"/>
        <s v="Ecuador"/>
        <s v="Türkiye"/>
        <s v="Mali"/>
        <s v="Paraguay"/>
        <s v="Côte d'Ivoire"/>
        <s v="Republic of Ireland"/>
        <s v="Qatar"/>
        <s v="Saudi Arabia"/>
        <s v="Greece"/>
        <s v="Romania"/>
        <s v="Burkina Faso"/>
        <s v="Slovakia"/>
        <s v="Finland"/>
        <s v="Venezuela"/>
        <s v="Bosnia and Herzegovina"/>
        <s v="Northern Ireland"/>
        <s v="Panama"/>
        <s v="Ghana"/>
        <s v="Iceland"/>
        <s v="Slovenia"/>
        <s v="Jamaica"/>
        <s v="North Macedonia"/>
        <s v="Albania"/>
        <s v="South Africa"/>
        <s v="Iraq"/>
        <s v="Montenegro"/>
        <s v="United Arab Emirates"/>
        <s v="Cabo Verde"/>
        <s v="Bulgaria"/>
        <s v="Congo DR"/>
        <s v="El Salvador"/>
        <s v="Oman"/>
        <s v="Israel"/>
        <s v="Uzbekistan"/>
        <s v="Georgia"/>
        <s v="China PR"/>
        <s v="Honduras"/>
        <s v="Gabon"/>
        <s v="Bolivia"/>
        <s v="Guinea"/>
        <s v="Jordan"/>
        <s v="Bahrain"/>
        <s v="Curaçao"/>
        <s v="Haiti"/>
        <s v="Zambia"/>
        <s v="Uganda"/>
        <s v="Syria"/>
        <s v="Benin"/>
        <s v="Luxembourg"/>
        <s v="Armenia"/>
        <s v="Palestine"/>
        <s v="Kyrgyz Republic"/>
        <s v="Vietnam"/>
        <s v="Belarus"/>
        <s v="Equatorial Guinea"/>
        <s v="Lebanon"/>
        <s v="Congo"/>
        <s v="Kenya"/>
        <s v="Madagascar"/>
        <s v="Mauritania"/>
        <s v="Trinidad and Tobago"/>
        <s v="New Zealand"/>
        <s v="India"/>
        <s v="Kosovo"/>
        <s v="Tajikistan"/>
        <s v="Estonia"/>
        <s v="Cyprus"/>
        <s v="Thailand"/>
        <s v="Korea DPR"/>
        <s v="Kazakhstan"/>
        <s v="Mozambique"/>
        <s v="Namibia"/>
        <s v="Guinea-Bissau"/>
        <s v="Sierra Leone"/>
        <s v="Guatemala"/>
        <s v="Angola"/>
        <s v="Libya"/>
        <s v="Niger"/>
        <s v="Faroe Islands"/>
        <s v="Azerbaijan"/>
        <s v="Malawi"/>
        <s v="Zimbabwe"/>
        <s v="The Gambia"/>
        <s v="Togo"/>
        <s v="Sudan"/>
        <s v="Comoros"/>
        <s v="Tanzania"/>
        <s v="Antigua and Barbuda"/>
        <s v="Central African Republic"/>
        <s v="Philippines"/>
        <s v="Latvia"/>
        <s v="Turkmenistan"/>
        <s v="Solomon Islands"/>
        <s v="Rwanda"/>
        <s v="Ethiopia"/>
        <s v="Suriname"/>
        <s v="St Kitts and Nevis"/>
        <s v="Burundi"/>
        <s v="Nicaragua"/>
        <s v="Eswatini"/>
        <s v="Lithuania"/>
        <s v="Hong Kong"/>
        <s v="Malaysia"/>
        <s v="Lesotho"/>
        <s v="Botswana"/>
        <s v="Kuwait"/>
        <s v="Liberia"/>
        <s v="Andorra"/>
        <s v="Indonesia"/>
        <s v="Dominican Republic"/>
        <s v="Maldives"/>
        <s v="Yemen"/>
        <s v="Afghanistan"/>
        <s v="Chinese Taipei"/>
        <s v="Myanmar"/>
        <s v="Papua New Guinea"/>
        <s v="Singapore"/>
        <s v="New Caledonia"/>
        <s v="Tahiti"/>
        <s v="Fiji"/>
        <s v="Vanuatu"/>
        <s v="South Sudan"/>
        <s v="Barbados"/>
        <s v="Cuba"/>
        <s v="Malta"/>
        <s v="Bermuda"/>
        <s v="Puerto Rico"/>
        <s v="Guyana"/>
        <s v="St Lucia"/>
        <s v="Grenada"/>
        <s v="Moldova"/>
        <s v="Nepal"/>
        <s v="Belize"/>
        <s v="Cambodia"/>
        <s v="St Vincent and the Grenadines"/>
        <s v="Montserrat"/>
        <s v="Mauritius"/>
        <s v="Chad"/>
        <s v="Macau"/>
        <s v="Mongolia"/>
        <s v="Dominica"/>
        <s v="Bhutan"/>
        <s v="São Tomé and Príncipe"/>
        <s v="Laos"/>
        <s v="American Samoa"/>
        <s v="Cook Islands"/>
        <s v="Brunei Darussalam"/>
        <s v="Samoa"/>
        <s v="Bangladesh"/>
        <s v="Djibouti"/>
        <s v="Pakistan"/>
        <s v="Cayman Islands"/>
        <s v="Liechtenstein"/>
        <s v="Tonga"/>
        <s v="Timor-Leste"/>
        <s v="Seychelles"/>
        <s v="Eritrea"/>
        <s v="Aruba"/>
        <s v="Bahamas"/>
        <s v="Somalia"/>
        <s v="Gibraltar"/>
        <s v="Guam"/>
        <s v="Turks and Caicos Islands"/>
        <s v="Sri Lanka"/>
        <s v="US Virgin Islands"/>
        <s v="British Virgin Islands"/>
        <s v="Anguilla"/>
        <s v="San Marino"/>
      </sharedItems>
    </cacheField>
    <cacheField name="team_code" numFmtId="0">
      <sharedItems count="211">
        <s v="BRA"/>
        <s v="BEL"/>
        <s v="ARG"/>
        <s v="FRA"/>
        <s v="ENG"/>
        <s v="ITA"/>
        <s v="ESP"/>
        <s v="NED"/>
        <s v="POR"/>
        <s v="DEN"/>
        <s v="GER"/>
        <s v="CRO"/>
        <s v="MEX"/>
        <s v="URU"/>
        <s v="SUI"/>
        <s v="USA"/>
        <s v="COL"/>
        <s v="SEN"/>
        <s v="WAL"/>
        <s v="IRN"/>
        <s v="SRB"/>
        <s v="MAR"/>
        <s v="PER"/>
        <s v="JPN"/>
        <s v="SWE"/>
        <s v="POL"/>
        <s v="UKR"/>
        <s v="KOR"/>
        <s v="CHI"/>
        <s v="TUN"/>
        <s v="CRC"/>
        <s v="NGA"/>
        <s v="RUS"/>
        <s v="AUT"/>
        <s v="CZE"/>
        <s v="HUN"/>
        <s v="ALG"/>
        <s v="AUS"/>
        <s v="EGY"/>
        <s v="SCO"/>
        <s v="CAN"/>
        <s v="NOR"/>
        <s v="CMR"/>
        <s v="ECU"/>
        <s v="TUR"/>
        <s v="MLI"/>
        <s v="PAR"/>
        <s v="CIV"/>
        <s v="IRL"/>
        <s v="QAT"/>
        <s v="KSA"/>
        <s v="GRE"/>
        <s v="ROU"/>
        <s v="BFA"/>
        <s v="SVK"/>
        <s v="FIN"/>
        <s v="VEN"/>
        <s v="BIH"/>
        <s v="NIR"/>
        <s v="PAN"/>
        <s v="GHA"/>
        <s v="ISL"/>
        <s v="SVN"/>
        <s v="JAM"/>
        <s v="MKD"/>
        <s v="ALB"/>
        <s v="RSA"/>
        <s v="IRQ"/>
        <s v="MNE"/>
        <s v="UAE"/>
        <s v="CPV"/>
        <s v="BUL"/>
        <s v="COD"/>
        <s v="SLV"/>
        <s v="OMA"/>
        <s v="ISR"/>
        <s v="UZB"/>
        <s v="GEO"/>
        <s v="CHN"/>
        <s v="HON"/>
        <s v="GAB"/>
        <s v="BOL"/>
        <s v="GUI"/>
        <s v="JOR"/>
        <s v="BHR"/>
        <s v="CUW"/>
        <s v="HAI"/>
        <s v="ZAM"/>
        <s v="UGA"/>
        <s v="SYR"/>
        <s v="BEN"/>
        <s v="LUX"/>
        <s v="ARM"/>
        <s v="PLE"/>
        <s v="KGZ"/>
        <s v="VIE"/>
        <s v="BLR"/>
        <s v="EQG"/>
        <s v="LBN"/>
        <s v="CGO"/>
        <s v="KEN"/>
        <s v="MAD"/>
        <s v="MTN"/>
        <s v="TRI"/>
        <s v="NZL"/>
        <s v="IND"/>
        <s v="KOS"/>
        <s v="TJK"/>
        <s v="EST"/>
        <s v="CYP"/>
        <s v="THA"/>
        <s v="PRK"/>
        <s v="KAZ"/>
        <s v="MOZ"/>
        <s v="NAM"/>
        <s v="GNB"/>
        <s v="SLE"/>
        <s v="GUA"/>
        <s v="ANG"/>
        <s v="LBY"/>
        <s v="NIG"/>
        <s v="FRO"/>
        <s v="AZE"/>
        <s v="MWI"/>
        <s v="ZIM"/>
        <s v="GAM"/>
        <s v="TOG"/>
        <s v="SDN"/>
        <s v="COM"/>
        <s v="TAN"/>
        <s v="ATG"/>
        <s v="CTA"/>
        <s v="PHI"/>
        <s v="LVA"/>
        <s v="TKM"/>
        <s v="SOL"/>
        <s v="RWA"/>
        <s v="ETH"/>
        <s v="SUR"/>
        <s v="SKN"/>
        <s v="BDI"/>
        <s v="NCA"/>
        <s v="SWZ"/>
        <s v="LTU"/>
        <s v="HKG"/>
        <s v="MAS"/>
        <s v="LES"/>
        <s v="BOT"/>
        <s v="KUW"/>
        <s v="LBR"/>
        <s v="AND"/>
        <s v="IDN"/>
        <s v="DOM"/>
        <s v="MDV"/>
        <s v="YEM"/>
        <s v="AFG"/>
        <s v="TPE"/>
        <s v="MYA"/>
        <s v="PNG"/>
        <s v="SGP"/>
        <s v="NCL"/>
        <s v="TAH"/>
        <s v="FIJ"/>
        <s v="VAN"/>
        <s v="SSD"/>
        <s v="BRB"/>
        <s v="CUB"/>
        <s v="MLT"/>
        <s v="BER"/>
        <s v="PUR"/>
        <s v="GUY"/>
        <s v="LCA"/>
        <s v="GRN"/>
        <s v="MDA"/>
        <s v="NEP"/>
        <s v="BLZ"/>
        <s v="CAM"/>
        <s v="VIN"/>
        <s v="MSR"/>
        <s v="MRI"/>
        <s v="CHA"/>
        <s v="MAC"/>
        <s v="MNG"/>
        <s v="DMA"/>
        <s v="BHU"/>
        <s v="STP"/>
        <s v="LAO"/>
        <s v="ASA"/>
        <s v="COK"/>
        <s v="BRU"/>
        <s v="SAM"/>
        <s v="BAN"/>
        <s v="DJI"/>
        <s v="PAK"/>
        <s v="CAY"/>
        <s v="LIE"/>
        <s v="TGA"/>
        <s v="TLS"/>
        <s v="SEY"/>
        <s v="ERI"/>
        <s v="ARU"/>
        <s v="BAH"/>
        <s v="SOM"/>
        <s v="GIB"/>
        <s v="GUM"/>
        <s v="TCA"/>
        <s v="SRI"/>
        <s v="VIR"/>
        <s v="VGB"/>
        <s v="AIA"/>
        <s v="SMR"/>
      </sharedItems>
    </cacheField>
    <cacheField name="association" numFmtId="0">
      <sharedItems count="6">
        <s v="CONMEBOL"/>
        <s v="UEFA"/>
        <s v="CONCACAF"/>
        <s v="CAF"/>
        <s v="AFC"/>
        <s v="OFC"/>
      </sharedItems>
    </cacheField>
    <cacheField name="rank" numFmtId="0">
      <sharedItems containsSemiMixedTypes="0" containsString="0" containsNumber="1" containsInteger="1" minValue="1" maxValue="211" count="21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</sharedItems>
    </cacheField>
    <cacheField name="previous_rank" numFmtId="0">
      <sharedItems containsSemiMixedTypes="0" containsString="0" containsNumber="1" containsInteger="1" minValue="1" maxValue="211"/>
    </cacheField>
    <cacheField name="points" numFmtId="0">
      <sharedItems containsSemiMixedTypes="0" containsString="0" containsNumber="1" minValue="762.22" maxValue="1841.3" count="211">
        <n v="1841.3"/>
        <n v="1816.71"/>
        <n v="1773.88"/>
        <n v="1759.78"/>
        <n v="1728.47"/>
        <n v="1726.14"/>
        <n v="1715.22"/>
        <n v="1694.51"/>
        <n v="1676.56"/>
        <n v="1666.57"/>
        <n v="1650.21"/>
        <n v="1645.64"/>
        <n v="1644.89"/>
        <n v="1638.71"/>
        <n v="1635.92"/>
        <n v="1627.48"/>
        <n v="1611.04"/>
        <n v="1584.38"/>
        <n v="1569.82"/>
        <n v="1564.61"/>
        <n v="1563.62"/>
        <n v="1563.5"/>
        <n v="1561.01"/>
        <n v="1559.54"/>
        <n v="1553.33"/>
        <n v="1548.59"/>
        <n v="1536.99"/>
        <n v="1530.3"/>
        <n v="1509.61"/>
        <n v="1507.54"/>
        <n v="1503.59"/>
        <n v="1498.47"/>
        <n v="1496.11"/>
        <n v="1492.95"/>
        <n v="1492.21"/>
        <n v="1492.2"/>
        <n v="1489.1"/>
        <n v="1488.72"/>
        <n v="1486.44"/>
        <n v="1479.53"/>
        <n v="1475"/>
        <n v="1473.04"/>
        <n v="1471.44"/>
        <n v="1464.39"/>
        <n v="1460.14"/>
        <n v="1448.85"/>
        <n v="1448.77"/>
        <n v="1443.06"/>
        <n v="1440.19"/>
        <n v="1439.89"/>
        <n v="1437.78"/>
        <n v="1437.6"/>
        <n v="1434.68"/>
        <n v="1432.25"/>
        <n v="1425.59"/>
        <n v="1405.6"/>
        <n v="1404.37"/>
        <n v="1403.51"/>
        <n v="1396.55"/>
        <n v="1393.28"/>
        <n v="1393"/>
        <n v="1384.41"/>
        <n v="1384.04"/>
        <n v="1378.86"/>
        <n v="1358.51"/>
        <n v="1354.11"/>
        <n v="1349.59"/>
        <n v="1343.01"/>
        <n v="1341.03"/>
        <n v="1337.57"/>
        <n v="1336.05"/>
        <n v="1335.36"/>
        <n v="1333.92"/>
        <n v="1330.51"/>
        <n v="1320.29"/>
        <n v="1316.55"/>
        <n v="1309.98"/>
        <n v="1307.3399999999999"/>
        <n v="1305.06"/>
        <n v="1301.98"/>
        <n v="1301.8399999999999"/>
        <n v="1296.28"/>
        <n v="1290.47"/>
        <n v="1289.99"/>
        <n v="1280.6400000000001"/>
        <n v="1278.6400000000001"/>
        <n v="1269.07"/>
        <n v="1267.4100000000001"/>
        <n v="1260.69"/>
        <n v="1255.92"/>
        <n v="1247.47"/>
        <n v="1243.8"/>
        <n v="1233.93"/>
        <n v="1233.72"/>
        <n v="1230.22"/>
        <n v="1226.6500000000001"/>
        <n v="1221.06"/>
        <n v="1215.6600000000001"/>
        <n v="1211.71"/>
        <n v="1208.79"/>
        <n v="1202.26"/>
        <n v="1200.74"/>
        <n v="1197.58"/>
        <n v="1195.29"/>
        <n v="1193.98"/>
        <n v="1192.0899999999999"/>
        <n v="1187.01"/>
        <n v="1185.7"/>
        <n v="1184.6400000000001"/>
        <n v="1183.82"/>
        <n v="1174.92"/>
        <n v="1169.96"/>
        <n v="1166.6300000000001"/>
        <n v="1165.22"/>
        <n v="1164.1300000000001"/>
        <n v="1160.71"/>
        <n v="1160.31"/>
        <n v="1156.7"/>
        <n v="1155.9000000000001"/>
        <n v="1154.25"/>
        <n v="1152.8"/>
        <n v="1147.17"/>
        <n v="1146.72"/>
        <n v="1144.97"/>
        <n v="1138.56"/>
        <n v="1137.47"/>
        <n v="1128.92"/>
        <n v="1127.3399999999999"/>
        <n v="1123.18"/>
        <n v="1119.8900000000001"/>
        <n v="1117.01"/>
        <n v="1116.97"/>
        <n v="1115.1300000000001"/>
        <n v="1114.21"/>
        <n v="1100.47"/>
        <n v="1095.7"/>
        <n v="1093.6600000000001"/>
        <n v="1091.19"/>
        <n v="1077.3"/>
        <n v="1076.9100000000001"/>
        <n v="1076.26"/>
        <n v="1071.83"/>
        <n v="1070.8900000000001"/>
        <n v="1069.75"/>
        <n v="1062.3900000000001"/>
        <n v="1062.32"/>
        <n v="1061.4000000000001"/>
        <n v="1056.46"/>
        <n v="1053.4100000000001"/>
        <n v="1049.6600000000001"/>
        <n v="1035.2"/>
        <n v="1033.9000000000001"/>
        <n v="1031.8599999999999"/>
        <n v="1026.0899999999999"/>
        <n v="1023.52"/>
        <n v="1023.04"/>
        <n v="1017.78"/>
        <n v="1007.89"/>
        <n v="1007.46"/>
        <n v="1003.5"/>
        <n v="995.58"/>
        <n v="995.11"/>
        <n v="989.43"/>
        <n v="985.62"/>
        <n v="983.99"/>
        <n v="982.27"/>
        <n v="978.65"/>
        <n v="977.92"/>
        <n v="977.47"/>
        <n v="974.32"/>
        <n v="968.74"/>
        <n v="965.66"/>
        <n v="963.72"/>
        <n v="961.23"/>
        <n v="954.86"/>
        <n v="950.88"/>
        <n v="948.62"/>
        <n v="945.25"/>
        <n v="940.78"/>
        <n v="932.02"/>
        <n v="930.22"/>
        <n v="922.1"/>
        <n v="913.55"/>
        <n v="911.51"/>
        <n v="910.96"/>
        <n v="908.18"/>
        <n v="905.51"/>
        <n v="900.27"/>
        <n v="899.33"/>
        <n v="898.41"/>
        <n v="894.26"/>
        <n v="884.45"/>
        <n v="875.05"/>
        <n v="866.81"/>
        <n v="865.72"/>
        <n v="862.39"/>
        <n v="861.81"/>
        <n v="860.06"/>
        <n v="859.56"/>
        <n v="855.56"/>
        <n v="855.37"/>
        <n v="854.8"/>
        <n v="854.72"/>
        <n v="852.16"/>
        <n v="838.33"/>
        <n v="832"/>
        <n v="825.25"/>
        <n v="823.97"/>
        <n v="809.32"/>
        <n v="790.74"/>
        <n v="762.22"/>
      </sharedItems>
    </cacheField>
    <cacheField name="previous_points" numFmtId="0">
      <sharedItems containsSemiMixedTypes="0" containsString="0" containsNumber="1" minValue="763.82" maxValue="1837.56"/>
    </cacheField>
    <cacheField name="Column1" numFmtId="0">
      <sharedItems containsSemiMixedTypes="0" containsString="0" containsNumber="1" containsInteger="1" minValue="-6" maxValue="5"/>
    </cacheField>
    <cacheField name="Column2" numFmtId="0">
      <sharedItems containsSemiMixedTypes="0" containsString="0" containsNumber="1" minValue="-16.690000000000055" maxValue="19.549999999999955"/>
    </cacheField>
    <cacheField name="Column3" numFmtId="0">
      <sharedItems/>
    </cacheField>
    <cacheField name="Column4" numFmtId="0">
      <sharedItems containsSemiMixedTypes="0" containsString="0" containsNumber="1" minValue="75949.19" maxValue="75949.19"/>
    </cacheField>
    <cacheField name="Column5" numFmtId="0">
      <sharedItems containsSemiMixedTypes="0" containsString="0" containsNumber="1" containsInteger="1" minValue="54" maxValue="54"/>
    </cacheField>
    <cacheField name="Column6" numFmtId="0">
      <sharedItems containsSemiMixedTypes="0" containsString="0" containsNumber="1" minValue="20285.549999999996" maxValue="20285.54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x v="0"/>
    <x v="0"/>
    <x v="0"/>
    <x v="0"/>
    <n v="1"/>
    <x v="0"/>
    <n v="1837.56"/>
    <n v="0"/>
    <n v="3.7400000000000091"/>
    <s v="CONMEBOL"/>
    <n v="75949.19"/>
    <n v="54"/>
    <n v="20285.549999999996"/>
  </r>
  <r>
    <x v="1"/>
    <x v="1"/>
    <x v="1"/>
    <x v="1"/>
    <n v="2"/>
    <x v="1"/>
    <n v="1821.92"/>
    <n v="0"/>
    <n v="-5.2100000000000364"/>
    <s v="UEFA"/>
    <n v="75949.19"/>
    <n v="54"/>
    <n v="20285.549999999996"/>
  </r>
  <r>
    <x v="2"/>
    <x v="2"/>
    <x v="0"/>
    <x v="2"/>
    <n v="3"/>
    <x v="2"/>
    <n v="1770.65"/>
    <n v="0"/>
    <n v="3.2300000000000182"/>
    <s v="CONMEBOL"/>
    <n v="75949.19"/>
    <n v="54"/>
    <n v="20285.549999999996"/>
  </r>
  <r>
    <x v="3"/>
    <x v="3"/>
    <x v="1"/>
    <x v="3"/>
    <n v="4"/>
    <x v="3"/>
    <n v="1764.85"/>
    <n v="0"/>
    <n v="-5.0699999999999363"/>
    <s v="UEFA"/>
    <n v="75949.19"/>
    <n v="54"/>
    <n v="20285.549999999996"/>
  </r>
  <r>
    <x v="4"/>
    <x v="4"/>
    <x v="1"/>
    <x v="4"/>
    <n v="5"/>
    <x v="4"/>
    <n v="1737.46"/>
    <n v="0"/>
    <n v="-8.9900000000000091"/>
    <s v="UEFA"/>
    <n v="75949.19"/>
    <n v="54"/>
    <n v="20285.549999999996"/>
  </r>
  <r>
    <x v="5"/>
    <x v="5"/>
    <x v="1"/>
    <x v="5"/>
    <n v="7"/>
    <x v="5"/>
    <n v="1713.86"/>
    <n v="1"/>
    <n v="12.2800000000002"/>
    <s v="UEFA"/>
    <n v="75949.19"/>
    <n v="54"/>
    <n v="20285.549999999996"/>
  </r>
  <r>
    <x v="6"/>
    <x v="6"/>
    <x v="1"/>
    <x v="6"/>
    <n v="6"/>
    <x v="6"/>
    <n v="1716.93"/>
    <n v="-1"/>
    <n v="-1.7100000000000364"/>
    <s v="UEFA"/>
    <n v="75949.19"/>
    <n v="54"/>
    <n v="20285.549999999996"/>
  </r>
  <r>
    <x v="7"/>
    <x v="7"/>
    <x v="1"/>
    <x v="7"/>
    <n v="8"/>
    <x v="7"/>
    <n v="1679.41"/>
    <n v="0"/>
    <n v="15.099999999999909"/>
    <s v="UEFA"/>
    <n v="75949.19"/>
    <n v="54"/>
    <n v="20285.549999999996"/>
  </r>
  <r>
    <x v="8"/>
    <x v="8"/>
    <x v="1"/>
    <x v="8"/>
    <n v="9"/>
    <x v="8"/>
    <n v="1678.65"/>
    <n v="0"/>
    <n v="-2.0900000000001455"/>
    <s v="UEFA"/>
    <n v="75949.19"/>
    <n v="54"/>
    <n v="20285.549999999996"/>
  </r>
  <r>
    <x v="9"/>
    <x v="9"/>
    <x v="1"/>
    <x v="9"/>
    <n v="10"/>
    <x v="9"/>
    <n v="1665.47"/>
    <n v="0"/>
    <n v="1.0999999999999091"/>
    <s v="UEFA"/>
    <n v="75949.19"/>
    <n v="54"/>
    <n v="20285.549999999996"/>
  </r>
  <r>
    <x v="10"/>
    <x v="10"/>
    <x v="1"/>
    <x v="10"/>
    <n v="11"/>
    <x v="10"/>
    <n v="1658.96"/>
    <n v="0"/>
    <n v="-8.75"/>
    <s v="UEFA"/>
    <n v="75949.19"/>
    <n v="54"/>
    <n v="20285.549999999996"/>
  </r>
  <r>
    <x v="11"/>
    <x v="11"/>
    <x v="1"/>
    <x v="11"/>
    <n v="15"/>
    <x v="11"/>
    <n v="1632.15"/>
    <n v="3"/>
    <n v="13.490000000000009"/>
    <s v="UEFA"/>
    <n v="75949.19"/>
    <n v="54"/>
    <n v="20285.549999999996"/>
  </r>
  <r>
    <x v="12"/>
    <x v="12"/>
    <x v="2"/>
    <x v="12"/>
    <n v="12"/>
    <x v="12"/>
    <n v="1649.57"/>
    <n v="-1"/>
    <n v="-4.6799999999998363"/>
    <s v="CONCACAF"/>
    <n v="75949.19"/>
    <n v="54"/>
    <n v="20285.549999999996"/>
  </r>
  <r>
    <x v="13"/>
    <x v="13"/>
    <x v="0"/>
    <x v="13"/>
    <n v="13"/>
    <x v="13"/>
    <n v="1640.95"/>
    <n v="-1"/>
    <n v="-2.2400000000000091"/>
    <s v="CONMEBOL"/>
    <n v="75949.19"/>
    <n v="54"/>
    <n v="20285.549999999996"/>
  </r>
  <r>
    <x v="14"/>
    <x v="14"/>
    <x v="1"/>
    <x v="14"/>
    <n v="16"/>
    <x v="14"/>
    <n v="1621.43"/>
    <n v="1"/>
    <n v="14.490000000000009"/>
    <s v="UEFA"/>
    <n v="75949.19"/>
    <n v="54"/>
    <n v="20285.549999999996"/>
  </r>
  <r>
    <x v="15"/>
    <x v="15"/>
    <x v="2"/>
    <x v="15"/>
    <n v="14"/>
    <x v="15"/>
    <n v="1635.01"/>
    <n v="-2"/>
    <n v="-7.5299999999999727"/>
    <s v="CONCACAF"/>
    <n v="75949.19"/>
    <n v="54"/>
    <n v="20285.549999999996"/>
  </r>
  <r>
    <x v="16"/>
    <x v="16"/>
    <x v="0"/>
    <x v="16"/>
    <n v="17"/>
    <x v="16"/>
    <n v="1604.07"/>
    <n v="0"/>
    <n v="6.9700000000000273"/>
    <s v="CONMEBOL"/>
    <n v="75949.19"/>
    <n v="54"/>
    <n v="20285.549999999996"/>
  </r>
  <r>
    <x v="17"/>
    <x v="17"/>
    <x v="3"/>
    <x v="17"/>
    <n v="18"/>
    <x v="17"/>
    <n v="1584.59"/>
    <n v="0"/>
    <n v="-0.20999999999980901"/>
    <s v="CAF"/>
    <n v="75949.19"/>
    <n v="54"/>
    <n v="20285.549999999996"/>
  </r>
  <r>
    <x v="18"/>
    <x v="18"/>
    <x v="1"/>
    <x v="18"/>
    <n v="19"/>
    <x v="18"/>
    <n v="1582.13"/>
    <n v="0"/>
    <n v="-12.310000000000173"/>
    <s v="UEFA"/>
    <n v="75949.19"/>
    <n v="54"/>
    <n v="20285.549999999996"/>
  </r>
  <r>
    <x v="19"/>
    <x v="19"/>
    <x v="4"/>
    <x v="19"/>
    <n v="22"/>
    <x v="19"/>
    <n v="1558.64"/>
    <n v="2"/>
    <n v="5.9699999999997999"/>
    <s v="AFC"/>
    <n v="75949.19"/>
    <n v="54"/>
    <n v="20285.549999999996"/>
  </r>
  <r>
    <x v="20"/>
    <x v="20"/>
    <x v="1"/>
    <x v="20"/>
    <n v="25"/>
    <x v="20"/>
    <n v="1549.53"/>
    <n v="4"/>
    <n v="14.089999999999918"/>
    <s v="UEFA"/>
    <n v="75949.19"/>
    <n v="54"/>
    <n v="20285.549999999996"/>
  </r>
  <r>
    <x v="21"/>
    <x v="21"/>
    <x v="3"/>
    <x v="21"/>
    <n v="23"/>
    <x v="21"/>
    <n v="1558.35"/>
    <n v="1"/>
    <n v="5.1500000000000909"/>
    <s v="CAF"/>
    <n v="75949.19"/>
    <n v="54"/>
    <n v="20285.549999999996"/>
  </r>
  <r>
    <x v="22"/>
    <x v="22"/>
    <x v="0"/>
    <x v="22"/>
    <n v="21"/>
    <x v="22"/>
    <n v="1562.24"/>
    <n v="-2"/>
    <n v="-1.2300000000000182"/>
    <s v="CONMEBOL"/>
    <n v="75949.19"/>
    <n v="54"/>
    <n v="20285.549999999996"/>
  </r>
  <r>
    <x v="23"/>
    <x v="23"/>
    <x v="4"/>
    <x v="23"/>
    <n v="24"/>
    <x v="23"/>
    <n v="1554.69"/>
    <n v="0"/>
    <n v="4.8499999999999091"/>
    <s v="AFC"/>
    <n v="75949.19"/>
    <n v="54"/>
    <n v="20285.549999999996"/>
  </r>
  <r>
    <x v="24"/>
    <x v="24"/>
    <x v="1"/>
    <x v="24"/>
    <n v="20"/>
    <x v="24"/>
    <n v="1563.44"/>
    <n v="-5"/>
    <n v="-10.110000000000127"/>
    <s v="UEFA"/>
    <n v="75949.19"/>
    <n v="54"/>
    <n v="20285.549999999996"/>
  </r>
  <r>
    <x v="25"/>
    <x v="25"/>
    <x v="1"/>
    <x v="25"/>
    <n v="26"/>
    <x v="25"/>
    <n v="1546.18"/>
    <n v="0"/>
    <n v="2.4099999999998545"/>
    <s v="UEFA"/>
    <n v="75949.19"/>
    <n v="54"/>
    <n v="20285.549999999996"/>
  </r>
  <r>
    <x v="26"/>
    <x v="26"/>
    <x v="1"/>
    <x v="26"/>
    <n v="27"/>
    <x v="26"/>
    <n v="1542.79"/>
    <n v="0"/>
    <n v="-5.7999999999999545"/>
    <s v="UEFA"/>
    <n v="75949.19"/>
    <n v="54"/>
    <n v="20285.549999999996"/>
  </r>
  <r>
    <x v="27"/>
    <x v="27"/>
    <x v="4"/>
    <x v="27"/>
    <n v="28"/>
    <x v="27"/>
    <n v="1526.02"/>
    <n v="0"/>
    <n v="4.2799999999999727"/>
    <s v="AFC"/>
    <n v="75949.19"/>
    <n v="54"/>
    <n v="20285.549999999996"/>
  </r>
  <r>
    <x v="28"/>
    <x v="28"/>
    <x v="0"/>
    <x v="28"/>
    <n v="29"/>
    <x v="28"/>
    <n v="1514.86"/>
    <n v="0"/>
    <n v="-5.25"/>
    <s v="CONMEBOL"/>
    <n v="75949.19"/>
    <n v="54"/>
    <n v="20285.549999999996"/>
  </r>
  <r>
    <x v="29"/>
    <x v="29"/>
    <x v="3"/>
    <x v="29"/>
    <n v="30"/>
    <x v="29"/>
    <n v="1507.86"/>
    <n v="0"/>
    <n v="-0.31999999999993634"/>
    <s v="CAF"/>
    <n v="75949.19"/>
    <n v="54"/>
    <n v="20285.549999999996"/>
  </r>
  <r>
    <x v="30"/>
    <x v="30"/>
    <x v="2"/>
    <x v="30"/>
    <n v="34"/>
    <x v="30"/>
    <n v="1500.06"/>
    <n v="3"/>
    <n v="3.5299999999999727"/>
    <s v="CONCACAF"/>
    <n v="75949.19"/>
    <n v="54"/>
    <n v="20285.549999999996"/>
  </r>
  <r>
    <x v="31"/>
    <x v="31"/>
    <x v="3"/>
    <x v="31"/>
    <n v="31"/>
    <x v="31"/>
    <n v="1504.7"/>
    <n v="-1"/>
    <n v="-6.2300000000000182"/>
    <s v="CAF"/>
    <n v="75949.19"/>
    <n v="54"/>
    <n v="20285.549999999996"/>
  </r>
  <r>
    <x v="32"/>
    <x v="32"/>
    <x v="1"/>
    <x v="32"/>
    <n v="35"/>
    <x v="32"/>
    <n v="1493.42"/>
    <n v="2"/>
    <n v="2.6899999999998272"/>
    <s v="UEFA"/>
    <n v="75949.19"/>
    <n v="54"/>
    <n v="20285.549999999996"/>
  </r>
  <r>
    <x v="33"/>
    <x v="33"/>
    <x v="1"/>
    <x v="33"/>
    <n v="33"/>
    <x v="33"/>
    <n v="1502.47"/>
    <n v="-1"/>
    <n v="-9.5199999999999818"/>
    <s v="UEFA"/>
    <n v="75949.19"/>
    <n v="54"/>
    <n v="20285.549999999996"/>
  </r>
  <r>
    <x v="34"/>
    <x v="34"/>
    <x v="1"/>
    <x v="34"/>
    <n v="32"/>
    <x v="34"/>
    <n v="1502.9"/>
    <n v="-3"/>
    <n v="-10.690000000000055"/>
    <s v="UEFA"/>
    <n v="75949.19"/>
    <n v="54"/>
    <n v="20285.549999999996"/>
  </r>
  <r>
    <x v="35"/>
    <x v="35"/>
    <x v="1"/>
    <x v="35"/>
    <n v="37"/>
    <x v="35"/>
    <n v="1486.76"/>
    <n v="1"/>
    <n v="5.4400000000000546"/>
    <s v="UEFA"/>
    <n v="75949.19"/>
    <n v="54"/>
    <n v="20285.549999999996"/>
  </r>
  <r>
    <x v="36"/>
    <x v="36"/>
    <x v="3"/>
    <x v="36"/>
    <n v="41"/>
    <x v="36"/>
    <n v="1480.59"/>
    <n v="4"/>
    <n v="8.5099999999999909"/>
    <s v="CAF"/>
    <n v="75949.19"/>
    <n v="54"/>
    <n v="20285.549999999996"/>
  </r>
  <r>
    <x v="37"/>
    <x v="37"/>
    <x v="4"/>
    <x v="37"/>
    <n v="39"/>
    <x v="37"/>
    <n v="1483.73"/>
    <n v="1"/>
    <n v="4.9900000000000091"/>
    <s v="AFC"/>
    <n v="75949.19"/>
    <n v="54"/>
    <n v="20285.549999999996"/>
  </r>
  <r>
    <x v="38"/>
    <x v="38"/>
    <x v="3"/>
    <x v="38"/>
    <n v="40"/>
    <x v="38"/>
    <n v="1482.63"/>
    <n v="1"/>
    <n v="3.8099999999999454"/>
    <s v="CAF"/>
    <n v="75949.19"/>
    <n v="54"/>
    <n v="20285.549999999996"/>
  </r>
  <r>
    <x v="39"/>
    <x v="39"/>
    <x v="1"/>
    <x v="39"/>
    <n v="45"/>
    <x v="39"/>
    <n v="1462.96"/>
    <n v="5"/>
    <n v="16.569999999999936"/>
    <s v="UEFA"/>
    <n v="75949.19"/>
    <n v="54"/>
    <n v="20285.549999999996"/>
  </r>
  <r>
    <x v="40"/>
    <x v="40"/>
    <x v="2"/>
    <x v="40"/>
    <n v="43"/>
    <x v="40"/>
    <n v="1473.82"/>
    <n v="2"/>
    <n v="1.1800000000000637"/>
    <s v="CONCACAF"/>
    <n v="75949.19"/>
    <n v="54"/>
    <n v="20285.549999999996"/>
  </r>
  <r>
    <x v="41"/>
    <x v="41"/>
    <x v="1"/>
    <x v="41"/>
    <n v="36"/>
    <x v="41"/>
    <n v="1488.57"/>
    <n v="-6"/>
    <n v="-15.529999999999973"/>
    <s v="UEFA"/>
    <n v="75949.19"/>
    <n v="54"/>
    <n v="20285.549999999996"/>
  </r>
  <r>
    <x v="42"/>
    <x v="42"/>
    <x v="3"/>
    <x v="42"/>
    <n v="38"/>
    <x v="42"/>
    <n v="1484.95"/>
    <n v="-5"/>
    <n v="-13.509999999999991"/>
    <s v="CAF"/>
    <n v="75949.19"/>
    <n v="54"/>
    <n v="20285.549999999996"/>
  </r>
  <r>
    <x v="43"/>
    <x v="43"/>
    <x v="0"/>
    <x v="43"/>
    <n v="44"/>
    <x v="43"/>
    <n v="1463.74"/>
    <n v="0"/>
    <n v="0.65000000000009095"/>
    <s v="CONMEBOL"/>
    <n v="75949.19"/>
    <n v="54"/>
    <n v="20285.549999999996"/>
  </r>
  <r>
    <x v="44"/>
    <x v="44"/>
    <x v="1"/>
    <x v="44"/>
    <n v="42"/>
    <x v="44"/>
    <n v="1475.13"/>
    <n v="-3"/>
    <n v="-14.990000000000009"/>
    <s v="UEFA"/>
    <n v="75949.19"/>
    <n v="54"/>
    <n v="20285.549999999996"/>
  </r>
  <r>
    <x v="45"/>
    <x v="45"/>
    <x v="3"/>
    <x v="45"/>
    <n v="46"/>
    <x v="45"/>
    <n v="1442.88"/>
    <n v="0"/>
    <n v="5.9699999999997999"/>
    <s v="CAF"/>
    <n v="75949.19"/>
    <n v="54"/>
    <n v="20285.549999999996"/>
  </r>
  <r>
    <x v="46"/>
    <x v="46"/>
    <x v="0"/>
    <x v="46"/>
    <n v="50"/>
    <x v="46"/>
    <n v="1440.13"/>
    <n v="3"/>
    <n v="8.6399999999998727"/>
    <s v="CONMEBOL"/>
    <n v="75949.19"/>
    <n v="54"/>
    <n v="20285.549999999996"/>
  </r>
  <r>
    <x v="47"/>
    <x v="47"/>
    <x v="3"/>
    <x v="47"/>
    <n v="52"/>
    <x v="47"/>
    <n v="1435.91"/>
    <n v="4"/>
    <n v="7.1499999999998636"/>
    <s v="CAF"/>
    <n v="75949.19"/>
    <n v="54"/>
    <n v="20285.549999999996"/>
  </r>
  <r>
    <x v="48"/>
    <x v="48"/>
    <x v="1"/>
    <x v="48"/>
    <n v="47"/>
    <x v="48"/>
    <n v="1442.48"/>
    <n v="-2"/>
    <n v="-2.2899999999999636"/>
    <s v="UEFA"/>
    <n v="75949.19"/>
    <n v="54"/>
    <n v="20285.549999999996"/>
  </r>
  <r>
    <x v="49"/>
    <x v="49"/>
    <x v="4"/>
    <x v="49"/>
    <n v="48"/>
    <x v="49"/>
    <n v="1441.97"/>
    <n v="-2"/>
    <n v="-2.0799999999999272"/>
    <s v="AFC"/>
    <n v="75949.19"/>
    <n v="54"/>
    <n v="20285.549999999996"/>
  </r>
  <r>
    <x v="50"/>
    <x v="50"/>
    <x v="4"/>
    <x v="50"/>
    <n v="53"/>
    <x v="50"/>
    <n v="1435.74"/>
    <n v="2"/>
    <n v="2.0399999999999636"/>
    <s v="AFC"/>
    <n v="75949.19"/>
    <n v="54"/>
    <n v="20285.549999999996"/>
  </r>
  <r>
    <x v="51"/>
    <x v="51"/>
    <x v="1"/>
    <x v="51"/>
    <n v="49"/>
    <x v="51"/>
    <n v="1441.45"/>
    <n v="-3"/>
    <n v="-3.8500000000001364"/>
    <s v="UEFA"/>
    <n v="75949.19"/>
    <n v="54"/>
    <n v="20285.549999999996"/>
  </r>
  <r>
    <x v="52"/>
    <x v="52"/>
    <x v="1"/>
    <x v="52"/>
    <n v="54"/>
    <x v="52"/>
    <n v="1427.84"/>
    <n v="1"/>
    <n v="6.8400000000001455"/>
    <s v="UEFA"/>
    <n v="75949.19"/>
    <n v="54"/>
    <n v="20285.549999999996"/>
  </r>
  <r>
    <x v="53"/>
    <x v="53"/>
    <x v="3"/>
    <x v="53"/>
    <n v="55"/>
    <x v="53"/>
    <n v="1425.64"/>
    <n v="1"/>
    <n v="6.6099999999999"/>
    <s v="CAF"/>
    <n v="75949.19"/>
    <n v="54"/>
    <n v="20285.549999999996"/>
  </r>
  <r>
    <x v="54"/>
    <x v="54"/>
    <x v="1"/>
    <x v="54"/>
    <n v="51"/>
    <x v="54"/>
    <n v="1439.99"/>
    <n v="-4"/>
    <n v="-14.400000000000091"/>
    <s v="UEFA"/>
    <n v="75949.19"/>
    <n v="54"/>
    <n v="20285.549999999996"/>
  </r>
  <r>
    <x v="55"/>
    <x v="55"/>
    <x v="1"/>
    <x v="55"/>
    <n v="59"/>
    <x v="55"/>
    <n v="1398.41"/>
    <n v="3"/>
    <n v="7.1899999999998272"/>
    <s v="UEFA"/>
    <n v="75949.19"/>
    <n v="54"/>
    <n v="20285.549999999996"/>
  </r>
  <r>
    <x v="56"/>
    <x v="56"/>
    <x v="0"/>
    <x v="56"/>
    <n v="56"/>
    <x v="56"/>
    <n v="1405.17"/>
    <n v="-1"/>
    <n v="-0.8000000000001819"/>
    <s v="CONMEBOL"/>
    <n v="75949.19"/>
    <n v="54"/>
    <n v="20285.549999999996"/>
  </r>
  <r>
    <x v="57"/>
    <x v="57"/>
    <x v="1"/>
    <x v="57"/>
    <n v="57"/>
    <x v="57"/>
    <n v="1403.98"/>
    <n v="-1"/>
    <n v="-0.47000000000002728"/>
    <s v="UEFA"/>
    <n v="75949.19"/>
    <n v="54"/>
    <n v="20285.549999999996"/>
  </r>
  <r>
    <x v="58"/>
    <x v="58"/>
    <x v="1"/>
    <x v="58"/>
    <n v="58"/>
    <x v="58"/>
    <n v="1399.1"/>
    <n v="-1"/>
    <n v="-2.5499999999999545"/>
    <s v="UEFA"/>
    <n v="75949.19"/>
    <n v="54"/>
    <n v="20285.549999999996"/>
  </r>
  <r>
    <x v="59"/>
    <x v="59"/>
    <x v="2"/>
    <x v="59"/>
    <n v="61"/>
    <x v="59"/>
    <n v="1389.27"/>
    <n v="1"/>
    <n v="4.0099999999999909"/>
    <s v="CONCACAF"/>
    <n v="75949.19"/>
    <n v="54"/>
    <n v="20285.549999999996"/>
  </r>
  <r>
    <x v="60"/>
    <x v="60"/>
    <x v="3"/>
    <x v="60"/>
    <n v="60"/>
    <x v="60"/>
    <n v="1393.47"/>
    <n v="-1"/>
    <n v="-0.47000000000002728"/>
    <s v="CAF"/>
    <n v="75949.19"/>
    <n v="54"/>
    <n v="20285.549999999996"/>
  </r>
  <r>
    <x v="61"/>
    <x v="61"/>
    <x v="1"/>
    <x v="61"/>
    <n v="63"/>
    <x v="61"/>
    <n v="1379.61"/>
    <n v="1"/>
    <n v="4.8000000000001819"/>
    <s v="UEFA"/>
    <n v="75949.19"/>
    <n v="54"/>
    <n v="20285.549999999996"/>
  </r>
  <r>
    <x v="62"/>
    <x v="62"/>
    <x v="1"/>
    <x v="62"/>
    <n v="65"/>
    <x v="62"/>
    <n v="1372.48"/>
    <n v="2"/>
    <n v="11.559999999999945"/>
    <s v="UEFA"/>
    <n v="75949.19"/>
    <n v="54"/>
    <n v="20285.549999999996"/>
  </r>
  <r>
    <x v="63"/>
    <x v="63"/>
    <x v="2"/>
    <x v="63"/>
    <n v="62"/>
    <x v="63"/>
    <n v="1382.06"/>
    <n v="-2"/>
    <n v="-3.2000000000000455"/>
    <s v="CONCACAF"/>
    <n v="75949.19"/>
    <n v="54"/>
    <n v="20285.549999999996"/>
  </r>
  <r>
    <x v="64"/>
    <x v="64"/>
    <x v="1"/>
    <x v="64"/>
    <n v="64"/>
    <x v="64"/>
    <n v="1375.2"/>
    <n v="-1"/>
    <n v="-16.690000000000055"/>
    <s v="UEFA"/>
    <n v="75949.19"/>
    <n v="54"/>
    <n v="20285.549999999996"/>
  </r>
  <r>
    <x v="65"/>
    <x v="65"/>
    <x v="1"/>
    <x v="65"/>
    <n v="66"/>
    <x v="65"/>
    <n v="1361.81"/>
    <n v="0"/>
    <n v="-7.7000000000000455"/>
    <s v="UEFA"/>
    <n v="75949.19"/>
    <n v="54"/>
    <n v="20285.549999999996"/>
  </r>
  <r>
    <x v="66"/>
    <x v="66"/>
    <x v="3"/>
    <x v="66"/>
    <n v="68"/>
    <x v="66"/>
    <n v="1350.55"/>
    <n v="1"/>
    <n v="-0.96000000000003638"/>
    <s v="CAF"/>
    <n v="75949.19"/>
    <n v="54"/>
    <n v="20285.549999999996"/>
  </r>
  <r>
    <x v="67"/>
    <x v="67"/>
    <x v="4"/>
    <x v="67"/>
    <n v="70"/>
    <x v="67"/>
    <n v="1338.91"/>
    <n v="2"/>
    <n v="4.0999999999999091"/>
    <s v="AFC"/>
    <n v="75949.19"/>
    <n v="54"/>
    <n v="20285.549999999996"/>
  </r>
  <r>
    <x v="68"/>
    <x v="68"/>
    <x v="1"/>
    <x v="68"/>
    <n v="67"/>
    <x v="68"/>
    <n v="1354.59"/>
    <n v="-2"/>
    <n v="-13.559999999999945"/>
    <s v="UEFA"/>
    <n v="75949.19"/>
    <n v="54"/>
    <n v="20285.549999999996"/>
  </r>
  <r>
    <x v="69"/>
    <x v="69"/>
    <x v="4"/>
    <x v="69"/>
    <n v="69"/>
    <x v="69"/>
    <n v="1346.09"/>
    <n v="-1"/>
    <n v="-8.5199999999999818"/>
    <s v="AFC"/>
    <n v="75949.19"/>
    <n v="54"/>
    <n v="20285.549999999996"/>
  </r>
  <r>
    <x v="70"/>
    <x v="70"/>
    <x v="3"/>
    <x v="70"/>
    <n v="73"/>
    <x v="70"/>
    <n v="1331.46"/>
    <n v="2"/>
    <n v="4.5899999999999181"/>
    <s v="CAF"/>
    <n v="75949.19"/>
    <n v="54"/>
    <n v="20285.549999999996"/>
  </r>
  <r>
    <x v="71"/>
    <x v="71"/>
    <x v="1"/>
    <x v="71"/>
    <n v="74"/>
    <x v="71"/>
    <n v="1325.16"/>
    <n v="2"/>
    <n v="10.199999999999818"/>
    <s v="UEFA"/>
    <n v="75949.19"/>
    <n v="54"/>
    <n v="20285.549999999996"/>
  </r>
  <r>
    <x v="72"/>
    <x v="72"/>
    <x v="3"/>
    <x v="72"/>
    <n v="72"/>
    <x v="72"/>
    <n v="1332.84"/>
    <n v="-1"/>
    <n v="1.0800000000001546"/>
    <s v="CAF"/>
    <n v="75949.19"/>
    <n v="54"/>
    <n v="20285.549999999996"/>
  </r>
  <r>
    <x v="73"/>
    <x v="73"/>
    <x v="2"/>
    <x v="73"/>
    <n v="71"/>
    <x v="73"/>
    <n v="1333.48"/>
    <n v="-3"/>
    <n v="-2.9700000000000273"/>
    <s v="CONCACAF"/>
    <n v="75949.19"/>
    <n v="54"/>
    <n v="20285.549999999996"/>
  </r>
  <r>
    <x v="74"/>
    <x v="74"/>
    <x v="4"/>
    <x v="74"/>
    <n v="75"/>
    <x v="74"/>
    <n v="1323.03"/>
    <n v="0"/>
    <n v="-2.7400000000000091"/>
    <s v="AFC"/>
    <n v="75949.19"/>
    <n v="54"/>
    <n v="20285.549999999996"/>
  </r>
  <r>
    <x v="75"/>
    <x v="75"/>
    <x v="1"/>
    <x v="75"/>
    <n v="76"/>
    <x v="75"/>
    <n v="1316.35"/>
    <n v="0"/>
    <n v="0.20000000000004547"/>
    <s v="UEFA"/>
    <n v="75949.19"/>
    <n v="54"/>
    <n v="20285.549999999996"/>
  </r>
  <r>
    <x v="76"/>
    <x v="76"/>
    <x v="4"/>
    <x v="76"/>
    <n v="77"/>
    <x v="76"/>
    <n v="1306.6300000000001"/>
    <n v="0"/>
    <n v="3.3499999999999091"/>
    <s v="AFC"/>
    <n v="75949.19"/>
    <n v="54"/>
    <n v="20285.549999999996"/>
  </r>
  <r>
    <x v="77"/>
    <x v="77"/>
    <x v="1"/>
    <x v="77"/>
    <n v="82"/>
    <x v="77"/>
    <n v="1296.46"/>
    <n v="4"/>
    <n v="10.879999999999882"/>
    <s v="UEFA"/>
    <n v="75949.19"/>
    <n v="54"/>
    <n v="20285.549999999996"/>
  </r>
  <r>
    <x v="78"/>
    <x v="78"/>
    <x v="4"/>
    <x v="78"/>
    <n v="78"/>
    <x v="78"/>
    <n v="1305.06"/>
    <n v="-1"/>
    <n v="0"/>
    <s v="AFC"/>
    <n v="75949.19"/>
    <n v="54"/>
    <n v="20285.549999999996"/>
  </r>
  <r>
    <x v="79"/>
    <x v="79"/>
    <x v="2"/>
    <x v="79"/>
    <n v="80"/>
    <x v="79"/>
    <n v="1299.69"/>
    <n v="0"/>
    <n v="2.2899999999999636"/>
    <s v="CONCACAF"/>
    <n v="75949.19"/>
    <n v="54"/>
    <n v="20285.549999999996"/>
  </r>
  <r>
    <x v="80"/>
    <x v="80"/>
    <x v="3"/>
    <x v="80"/>
    <n v="79"/>
    <x v="80"/>
    <n v="1301.8399999999999"/>
    <n v="-2"/>
    <n v="0"/>
    <s v="CAF"/>
    <n v="75949.19"/>
    <n v="54"/>
    <n v="20285.549999999996"/>
  </r>
  <r>
    <x v="81"/>
    <x v="81"/>
    <x v="0"/>
    <x v="81"/>
    <n v="81"/>
    <x v="81"/>
    <n v="1298.81"/>
    <n v="-1"/>
    <n v="-2.5299999999999727"/>
    <s v="CONMEBOL"/>
    <n v="75949.19"/>
    <n v="54"/>
    <n v="20285.549999999996"/>
  </r>
  <r>
    <x v="82"/>
    <x v="82"/>
    <x v="3"/>
    <x v="82"/>
    <n v="83"/>
    <x v="82"/>
    <n v="1294.8900000000001"/>
    <n v="0"/>
    <n v="-4.4200000000000728"/>
    <s v="CAF"/>
    <n v="75949.19"/>
    <n v="54"/>
    <n v="20285.549999999996"/>
  </r>
  <r>
    <x v="83"/>
    <x v="83"/>
    <x v="4"/>
    <x v="83"/>
    <n v="86"/>
    <x v="83"/>
    <n v="1279.74"/>
    <n v="2"/>
    <n v="10.25"/>
    <s v="AFC"/>
    <n v="75949.19"/>
    <n v="54"/>
    <n v="20285.549999999996"/>
  </r>
  <r>
    <x v="84"/>
    <x v="84"/>
    <x v="4"/>
    <x v="84"/>
    <n v="85"/>
    <x v="84"/>
    <n v="1289.25"/>
    <n v="0"/>
    <n v="-8.6099999999999"/>
    <s v="AFC"/>
    <n v="75949.19"/>
    <n v="54"/>
    <n v="20285.549999999996"/>
  </r>
  <r>
    <x v="85"/>
    <x v="85"/>
    <x v="2"/>
    <x v="85"/>
    <n v="84"/>
    <x v="85"/>
    <n v="1293.3499999999999"/>
    <n v="-2"/>
    <n v="-14.709999999999809"/>
    <s v="CONCACAF"/>
    <n v="75949.19"/>
    <n v="54"/>
    <n v="20285.549999999996"/>
  </r>
  <r>
    <x v="86"/>
    <x v="86"/>
    <x v="2"/>
    <x v="86"/>
    <n v="88"/>
    <x v="86"/>
    <n v="1269.07"/>
    <n v="1"/>
    <n v="0"/>
    <s v="CONCACAF"/>
    <n v="75949.19"/>
    <n v="54"/>
    <n v="20285.549999999996"/>
  </r>
  <r>
    <x v="87"/>
    <x v="87"/>
    <x v="3"/>
    <x v="87"/>
    <n v="87"/>
    <x v="87"/>
    <n v="1270.8"/>
    <n v="-1"/>
    <n v="-3.3899999999998727"/>
    <s v="CAF"/>
    <n v="75949.19"/>
    <n v="54"/>
    <n v="20285.549999999996"/>
  </r>
  <r>
    <x v="88"/>
    <x v="88"/>
    <x v="3"/>
    <x v="88"/>
    <n v="90"/>
    <x v="88"/>
    <n v="1264.56"/>
    <n v="1"/>
    <n v="-3.8699999999998909"/>
    <s v="CAF"/>
    <n v="75949.19"/>
    <n v="54"/>
    <n v="20285.549999999996"/>
  </r>
  <r>
    <x v="89"/>
    <x v="89"/>
    <x v="4"/>
    <x v="89"/>
    <n v="89"/>
    <x v="89"/>
    <n v="1265.03"/>
    <n v="-1"/>
    <n v="-9.1099999999999"/>
    <s v="AFC"/>
    <n v="75949.19"/>
    <n v="54"/>
    <n v="20285.549999999996"/>
  </r>
  <r>
    <x v="90"/>
    <x v="90"/>
    <x v="3"/>
    <x v="90"/>
    <n v="91"/>
    <x v="90"/>
    <n v="1258.71"/>
    <n v="0"/>
    <n v="-11.240000000000009"/>
    <s v="CAF"/>
    <n v="75949.19"/>
    <n v="54"/>
    <n v="20285.549999999996"/>
  </r>
  <r>
    <x v="91"/>
    <x v="91"/>
    <x v="1"/>
    <x v="91"/>
    <n v="93"/>
    <x v="91"/>
    <n v="1235.3599999999999"/>
    <n v="1"/>
    <n v="8.4400000000000546"/>
    <s v="UEFA"/>
    <n v="75949.19"/>
    <n v="54"/>
    <n v="20285.549999999996"/>
  </r>
  <r>
    <x v="92"/>
    <x v="92"/>
    <x v="1"/>
    <x v="92"/>
    <n v="92"/>
    <x v="92"/>
    <n v="1242.42"/>
    <n v="-1"/>
    <n v="-8.4900000000000091"/>
    <s v="UEFA"/>
    <n v="75949.19"/>
    <n v="54"/>
    <n v="20285.549999999996"/>
  </r>
  <r>
    <x v="93"/>
    <x v="93"/>
    <x v="4"/>
    <x v="93"/>
    <n v="94"/>
    <x v="93"/>
    <n v="1233.72"/>
    <n v="0"/>
    <n v="0"/>
    <s v="AFC"/>
    <n v="75949.19"/>
    <n v="54"/>
    <n v="20285.549999999996"/>
  </r>
  <r>
    <x v="94"/>
    <x v="94"/>
    <x v="4"/>
    <x v="94"/>
    <n v="95"/>
    <x v="94"/>
    <n v="1232.9100000000001"/>
    <n v="0"/>
    <n v="-2.6900000000000546"/>
    <s v="AFC"/>
    <n v="75949.19"/>
    <n v="54"/>
    <n v="20285.549999999996"/>
  </r>
  <r>
    <x v="95"/>
    <x v="95"/>
    <x v="4"/>
    <x v="95"/>
    <n v="97"/>
    <x v="95"/>
    <n v="1218.8399999999999"/>
    <n v="1"/>
    <n v="7.8100000000001728"/>
    <s v="AFC"/>
    <n v="75949.19"/>
    <n v="54"/>
    <n v="20285.549999999996"/>
  </r>
  <r>
    <x v="96"/>
    <x v="96"/>
    <x v="1"/>
    <x v="96"/>
    <n v="96"/>
    <x v="96"/>
    <n v="1226.55"/>
    <n v="-1"/>
    <n v="-5.4900000000000091"/>
    <s v="UEFA"/>
    <n v="75949.19"/>
    <n v="54"/>
    <n v="20285.549999999996"/>
  </r>
  <r>
    <x v="97"/>
    <x v="97"/>
    <x v="3"/>
    <x v="97"/>
    <n v="98"/>
    <x v="97"/>
    <n v="1215.33"/>
    <n v="0"/>
    <n v="0.33000000000015461"/>
    <s v="CAF"/>
    <n v="75949.19"/>
    <n v="54"/>
    <n v="20285.549999999996"/>
  </r>
  <r>
    <x v="98"/>
    <x v="98"/>
    <x v="4"/>
    <x v="98"/>
    <n v="100"/>
    <x v="98"/>
    <n v="1211.71"/>
    <n v="1"/>
    <n v="0"/>
    <s v="AFC"/>
    <n v="75949.19"/>
    <n v="54"/>
    <n v="20285.549999999996"/>
  </r>
  <r>
    <x v="99"/>
    <x v="99"/>
    <x v="3"/>
    <x v="99"/>
    <n v="99"/>
    <x v="99"/>
    <n v="1215.0899999999999"/>
    <n v="-1"/>
    <n v="-6.2999999999999545"/>
    <s v="CAF"/>
    <n v="75949.19"/>
    <n v="54"/>
    <n v="20285.549999999996"/>
  </r>
  <r>
    <x v="100"/>
    <x v="100"/>
    <x v="3"/>
    <x v="100"/>
    <n v="102"/>
    <x v="100"/>
    <n v="1202.26"/>
    <n v="1"/>
    <n v="0"/>
    <s v="CAF"/>
    <n v="75949.19"/>
    <n v="54"/>
    <n v="20285.549999999996"/>
  </r>
  <r>
    <x v="101"/>
    <x v="101"/>
    <x v="3"/>
    <x v="101"/>
    <n v="105"/>
    <x v="101"/>
    <n v="1193.78"/>
    <n v="3"/>
    <n v="6.9600000000000364"/>
    <s v="CAF"/>
    <n v="75949.19"/>
    <n v="54"/>
    <n v="20285.549999999996"/>
  </r>
  <r>
    <x v="102"/>
    <x v="102"/>
    <x v="3"/>
    <x v="102"/>
    <n v="107"/>
    <x v="102"/>
    <n v="1181.8599999999999"/>
    <n v="4"/>
    <n v="15.720000000000027"/>
    <s v="CAF"/>
    <n v="75949.19"/>
    <n v="54"/>
    <n v="20285.549999999996"/>
  </r>
  <r>
    <x v="103"/>
    <x v="103"/>
    <x v="2"/>
    <x v="103"/>
    <n v="101"/>
    <x v="103"/>
    <n v="1205.8499999999999"/>
    <n v="-3"/>
    <n v="-10.559999999999945"/>
    <s v="CONCACAF"/>
    <n v="75949.19"/>
    <n v="54"/>
    <n v="20285.549999999996"/>
  </r>
  <r>
    <x v="104"/>
    <x v="104"/>
    <x v="5"/>
    <x v="104"/>
    <n v="103"/>
    <x v="104"/>
    <n v="1198.96"/>
    <n v="-2"/>
    <n v="-4.9800000000000182"/>
    <s v="OFC"/>
    <n v="75949.19"/>
    <n v="54"/>
    <n v="20285.549999999996"/>
  </r>
  <r>
    <x v="105"/>
    <x v="105"/>
    <x v="4"/>
    <x v="105"/>
    <n v="104"/>
    <x v="105"/>
    <n v="1198.6500000000001"/>
    <n v="-2"/>
    <n v="-6.5600000000001728"/>
    <s v="AFC"/>
    <n v="75949.19"/>
    <n v="54"/>
    <n v="20285.549999999996"/>
  </r>
  <r>
    <x v="106"/>
    <x v="106"/>
    <x v="1"/>
    <x v="106"/>
    <n v="106"/>
    <x v="106"/>
    <n v="1183.9000000000001"/>
    <n v="-1"/>
    <n v="3.1099999999999"/>
    <s v="UEFA"/>
    <n v="75949.19"/>
    <n v="54"/>
    <n v="20285.549999999996"/>
  </r>
  <r>
    <x v="107"/>
    <x v="107"/>
    <x v="4"/>
    <x v="107"/>
    <n v="109"/>
    <x v="107"/>
    <n v="1179.0999999999999"/>
    <n v="1"/>
    <n v="6.6000000000001364"/>
    <s v="AFC"/>
    <n v="75949.19"/>
    <n v="54"/>
    <n v="20285.549999999996"/>
  </r>
  <r>
    <x v="108"/>
    <x v="108"/>
    <x v="1"/>
    <x v="108"/>
    <n v="110"/>
    <x v="108"/>
    <n v="1177.4000000000001"/>
    <n v="1"/>
    <n v="7.2400000000000091"/>
    <s v="UEFA"/>
    <n v="75949.19"/>
    <n v="54"/>
    <n v="20285.549999999996"/>
  </r>
  <r>
    <x v="109"/>
    <x v="109"/>
    <x v="1"/>
    <x v="109"/>
    <n v="108"/>
    <x v="109"/>
    <n v="1180.52"/>
    <n v="-2"/>
    <n v="3.2999999999999545"/>
    <s v="UEFA"/>
    <n v="75949.19"/>
    <n v="54"/>
    <n v="20285.549999999996"/>
  </r>
  <r>
    <x v="110"/>
    <x v="110"/>
    <x v="4"/>
    <x v="110"/>
    <n v="111"/>
    <x v="110"/>
    <n v="1170.69"/>
    <n v="0"/>
    <n v="4.2300000000000182"/>
    <s v="AFC"/>
    <n v="75949.19"/>
    <n v="54"/>
    <n v="20285.549999999996"/>
  </r>
  <r>
    <x v="111"/>
    <x v="111"/>
    <x v="4"/>
    <x v="111"/>
    <n v="112"/>
    <x v="111"/>
    <n v="1169.96"/>
    <n v="0"/>
    <n v="0"/>
    <s v="AFC"/>
    <n v="75949.19"/>
    <n v="54"/>
    <n v="20285.549999999996"/>
  </r>
  <r>
    <x v="112"/>
    <x v="112"/>
    <x v="1"/>
    <x v="112"/>
    <n v="114"/>
    <x v="112"/>
    <n v="1166.28"/>
    <n v="1"/>
    <n v="0.35000000000013642"/>
    <s v="UEFA"/>
    <n v="75949.19"/>
    <n v="54"/>
    <n v="20285.549999999996"/>
  </r>
  <r>
    <x v="113"/>
    <x v="113"/>
    <x v="3"/>
    <x v="113"/>
    <n v="116"/>
    <x v="113"/>
    <n v="1165.4100000000001"/>
    <n v="2"/>
    <n v="-0.19000000000005457"/>
    <s v="CAF"/>
    <n v="75949.19"/>
    <n v="54"/>
    <n v="20285.549999999996"/>
  </r>
  <r>
    <x v="114"/>
    <x v="114"/>
    <x v="3"/>
    <x v="114"/>
    <n v="117"/>
    <x v="114"/>
    <n v="1164.1300000000001"/>
    <n v="2"/>
    <n v="0"/>
    <s v="CAF"/>
    <n v="75949.19"/>
    <n v="54"/>
    <n v="20285.549999999996"/>
  </r>
  <r>
    <x v="115"/>
    <x v="115"/>
    <x v="3"/>
    <x v="115"/>
    <n v="115"/>
    <x v="115"/>
    <n v="1165.53"/>
    <n v="-1"/>
    <n v="-4.8199999999999363"/>
    <s v="CAF"/>
    <n v="75949.19"/>
    <n v="54"/>
    <n v="20285.549999999996"/>
  </r>
  <r>
    <x v="116"/>
    <x v="116"/>
    <x v="3"/>
    <x v="116"/>
    <n v="113"/>
    <x v="116"/>
    <n v="1169.71"/>
    <n v="-4"/>
    <n v="-9.4000000000000909"/>
    <s v="CAF"/>
    <n v="75949.19"/>
    <n v="54"/>
    <n v="20285.549999999996"/>
  </r>
  <r>
    <x v="117"/>
    <x v="117"/>
    <x v="2"/>
    <x v="117"/>
    <n v="118"/>
    <x v="117"/>
    <n v="1161.96"/>
    <n v="0"/>
    <n v="-5.2599999999999909"/>
    <s v="CONCACAF"/>
    <n v="75949.19"/>
    <n v="54"/>
    <n v="20285.549999999996"/>
  </r>
  <r>
    <x v="118"/>
    <x v="118"/>
    <x v="3"/>
    <x v="118"/>
    <n v="120"/>
    <x v="118"/>
    <n v="1149.08"/>
    <n v="1"/>
    <n v="6.8200000000001637"/>
    <s v="CAF"/>
    <n v="75949.19"/>
    <n v="54"/>
    <n v="20285.549999999996"/>
  </r>
  <r>
    <x v="119"/>
    <x v="119"/>
    <x v="3"/>
    <x v="119"/>
    <n v="121"/>
    <x v="119"/>
    <n v="1148.3599999999999"/>
    <n v="1"/>
    <n v="5.8900000000001"/>
    <s v="CAF"/>
    <n v="75949.19"/>
    <n v="54"/>
    <n v="20285.549999999996"/>
  </r>
  <r>
    <x v="120"/>
    <x v="120"/>
    <x v="3"/>
    <x v="120"/>
    <n v="119"/>
    <x v="120"/>
    <n v="1155.23"/>
    <n v="-2"/>
    <n v="-2.4300000000000637"/>
    <s v="CAF"/>
    <n v="75949.19"/>
    <n v="54"/>
    <n v="20285.549999999996"/>
  </r>
  <r>
    <x v="121"/>
    <x v="121"/>
    <x v="1"/>
    <x v="121"/>
    <n v="125"/>
    <x v="121"/>
    <n v="1136.29"/>
    <n v="3"/>
    <n v="10.880000000000109"/>
    <s v="UEFA"/>
    <n v="75949.19"/>
    <n v="54"/>
    <n v="20285.549999999996"/>
  </r>
  <r>
    <x v="122"/>
    <x v="122"/>
    <x v="1"/>
    <x v="122"/>
    <n v="128"/>
    <x v="122"/>
    <n v="1127.17"/>
    <n v="5"/>
    <n v="19.549999999999955"/>
    <s v="UEFA"/>
    <n v="75949.19"/>
    <n v="54"/>
    <n v="20285.549999999996"/>
  </r>
  <r>
    <x v="123"/>
    <x v="123"/>
    <x v="3"/>
    <x v="123"/>
    <n v="122"/>
    <x v="123"/>
    <n v="1144.77"/>
    <n v="-2"/>
    <n v="0.20000000000004547"/>
    <s v="CAF"/>
    <n v="75949.19"/>
    <n v="54"/>
    <n v="20285.549999999996"/>
  </r>
  <r>
    <x v="124"/>
    <x v="124"/>
    <x v="3"/>
    <x v="124"/>
    <n v="123"/>
    <x v="124"/>
    <n v="1138.56"/>
    <n v="-2"/>
    <n v="0"/>
    <s v="CAF"/>
    <n v="75949.19"/>
    <n v="54"/>
    <n v="20285.549999999996"/>
  </r>
  <r>
    <x v="125"/>
    <x v="125"/>
    <x v="3"/>
    <x v="125"/>
    <n v="124"/>
    <x v="125"/>
    <n v="1137.47"/>
    <n v="-2"/>
    <n v="0"/>
    <s v="CAF"/>
    <n v="75949.19"/>
    <n v="54"/>
    <n v="20285.549999999996"/>
  </r>
  <r>
    <x v="126"/>
    <x v="126"/>
    <x v="3"/>
    <x v="126"/>
    <n v="126"/>
    <x v="126"/>
    <n v="1130.22"/>
    <n v="-1"/>
    <n v="-1.2999999999999545"/>
    <s v="CAF"/>
    <n v="75949.19"/>
    <n v="54"/>
    <n v="20285.549999999996"/>
  </r>
  <r>
    <x v="127"/>
    <x v="127"/>
    <x v="3"/>
    <x v="127"/>
    <n v="130"/>
    <x v="127"/>
    <n v="1124.9100000000001"/>
    <n v="2"/>
    <n v="2.4299999999998363"/>
    <s v="CAF"/>
    <n v="75949.19"/>
    <n v="54"/>
    <n v="20285.549999999996"/>
  </r>
  <r>
    <x v="128"/>
    <x v="128"/>
    <x v="3"/>
    <x v="128"/>
    <n v="127"/>
    <x v="128"/>
    <n v="1127.44"/>
    <n v="-2"/>
    <n v="-4.2599999999999909"/>
    <s v="CAF"/>
    <n v="75949.19"/>
    <n v="54"/>
    <n v="20285.549999999996"/>
  </r>
  <r>
    <x v="129"/>
    <x v="129"/>
    <x v="3"/>
    <x v="129"/>
    <n v="131"/>
    <x v="129"/>
    <n v="1121.9100000000001"/>
    <n v="1"/>
    <n v="-2.0199999999999818"/>
    <s v="CAF"/>
    <n v="75949.19"/>
    <n v="54"/>
    <n v="20285.549999999996"/>
  </r>
  <r>
    <x v="130"/>
    <x v="130"/>
    <x v="2"/>
    <x v="130"/>
    <n v="132"/>
    <x v="130"/>
    <n v="1117.01"/>
    <n v="1"/>
    <n v="0"/>
    <s v="CONCACAF"/>
    <n v="75949.19"/>
    <n v="54"/>
    <n v="20285.549999999996"/>
  </r>
  <r>
    <x v="131"/>
    <x v="131"/>
    <x v="3"/>
    <x v="131"/>
    <n v="133"/>
    <x v="131"/>
    <n v="1116.06"/>
    <n v="1"/>
    <n v="0.91000000000008185"/>
    <s v="CAF"/>
    <n v="75949.19"/>
    <n v="54"/>
    <n v="20285.549999999996"/>
  </r>
  <r>
    <x v="132"/>
    <x v="132"/>
    <x v="4"/>
    <x v="132"/>
    <n v="134"/>
    <x v="132"/>
    <n v="1115.1300000000001"/>
    <n v="1"/>
    <n v="0"/>
    <s v="AFC"/>
    <n v="75949.19"/>
    <n v="54"/>
    <n v="20285.549999999996"/>
  </r>
  <r>
    <x v="133"/>
    <x v="133"/>
    <x v="1"/>
    <x v="133"/>
    <n v="129"/>
    <x v="133"/>
    <n v="1125.3599999999999"/>
    <n v="-5"/>
    <n v="-11.149999999999864"/>
    <s v="UEFA"/>
    <n v="75949.19"/>
    <n v="54"/>
    <n v="20285.549999999996"/>
  </r>
  <r>
    <x v="134"/>
    <x v="134"/>
    <x v="4"/>
    <x v="134"/>
    <n v="135"/>
    <x v="134"/>
    <n v="1100.47"/>
    <n v="0"/>
    <n v="0"/>
    <s v="AFC"/>
    <n v="75949.19"/>
    <n v="54"/>
    <n v="20285.549999999996"/>
  </r>
  <r>
    <x v="135"/>
    <x v="135"/>
    <x v="5"/>
    <x v="135"/>
    <n v="137"/>
    <x v="135"/>
    <n v="1092.56"/>
    <n v="1"/>
    <n v="3.1400000000001"/>
    <s v="OFC"/>
    <n v="75949.19"/>
    <n v="54"/>
    <n v="20285.549999999996"/>
  </r>
  <r>
    <x v="136"/>
    <x v="136"/>
    <x v="3"/>
    <x v="136"/>
    <n v="136"/>
    <x v="136"/>
    <n v="1095.04"/>
    <n v="-1"/>
    <n v="-1.3799999999998818"/>
    <s v="CAF"/>
    <n v="75949.19"/>
    <n v="54"/>
    <n v="20285.549999999996"/>
  </r>
  <r>
    <x v="137"/>
    <x v="137"/>
    <x v="3"/>
    <x v="137"/>
    <n v="138"/>
    <x v="137"/>
    <n v="1088.27"/>
    <n v="0"/>
    <n v="2.9200000000000728"/>
    <s v="CAF"/>
    <n v="75949.19"/>
    <n v="54"/>
    <n v="20285.549999999996"/>
  </r>
  <r>
    <x v="138"/>
    <x v="138"/>
    <x v="2"/>
    <x v="138"/>
    <n v="143"/>
    <x v="138"/>
    <n v="1072.24"/>
    <n v="4"/>
    <n v="5.0599999999999454"/>
    <s v="CONCACAF"/>
    <n v="75949.19"/>
    <n v="54"/>
    <n v="20285.549999999996"/>
  </r>
  <r>
    <x v="139"/>
    <x v="139"/>
    <x v="2"/>
    <x v="139"/>
    <n v="140"/>
    <x v="139"/>
    <n v="1076.9100000000001"/>
    <n v="0"/>
    <n v="0"/>
    <s v="CONCACAF"/>
    <n v="75949.19"/>
    <n v="54"/>
    <n v="20285.549999999996"/>
  </r>
  <r>
    <x v="140"/>
    <x v="140"/>
    <x v="3"/>
    <x v="140"/>
    <n v="141"/>
    <x v="140"/>
    <n v="1076.26"/>
    <n v="0"/>
    <n v="0"/>
    <s v="CAF"/>
    <n v="75949.19"/>
    <n v="54"/>
    <n v="20285.549999999996"/>
  </r>
  <r>
    <x v="141"/>
    <x v="141"/>
    <x v="2"/>
    <x v="141"/>
    <n v="139"/>
    <x v="141"/>
    <n v="1079.18"/>
    <n v="-3"/>
    <n v="-7.3500000000001364"/>
    <s v="CONCACAF"/>
    <n v="75949.19"/>
    <n v="54"/>
    <n v="20285.549999999996"/>
  </r>
  <r>
    <x v="142"/>
    <x v="142"/>
    <x v="3"/>
    <x v="142"/>
    <n v="144"/>
    <x v="142"/>
    <n v="1070.8900000000001"/>
    <n v="1"/>
    <n v="0"/>
    <s v="CAF"/>
    <n v="75949.19"/>
    <n v="54"/>
    <n v="20285.549999999996"/>
  </r>
  <r>
    <x v="143"/>
    <x v="143"/>
    <x v="1"/>
    <x v="143"/>
    <n v="142"/>
    <x v="143"/>
    <n v="1074.08"/>
    <n v="-2"/>
    <n v="-4.3299999999999272"/>
    <s v="UEFA"/>
    <n v="75949.19"/>
    <n v="54"/>
    <n v="20285.549999999996"/>
  </r>
  <r>
    <x v="144"/>
    <x v="144"/>
    <x v="4"/>
    <x v="144"/>
    <n v="147"/>
    <x v="144"/>
    <n v="1058.3699999999999"/>
    <n v="2"/>
    <n v="4.0200000000002092"/>
    <s v="AFC"/>
    <n v="75949.19"/>
    <n v="54"/>
    <n v="20285.549999999996"/>
  </r>
  <r>
    <x v="145"/>
    <x v="145"/>
    <x v="4"/>
    <x v="145"/>
    <n v="148"/>
    <x v="145"/>
    <n v="1057.5899999999999"/>
    <n v="2"/>
    <n v="4.7300000000000182"/>
    <s v="AFC"/>
    <n v="75949.19"/>
    <n v="54"/>
    <n v="20285.549999999996"/>
  </r>
  <r>
    <x v="146"/>
    <x v="146"/>
    <x v="3"/>
    <x v="146"/>
    <n v="145"/>
    <x v="146"/>
    <n v="1061.4000000000001"/>
    <n v="-2"/>
    <n v="0"/>
    <s v="CAF"/>
    <n v="75949.19"/>
    <n v="54"/>
    <n v="20285.549999999996"/>
  </r>
  <r>
    <x v="147"/>
    <x v="147"/>
    <x v="3"/>
    <x v="147"/>
    <n v="146"/>
    <x v="147"/>
    <n v="1060.17"/>
    <n v="-2"/>
    <n v="-3.7100000000000364"/>
    <s v="CAF"/>
    <n v="75949.19"/>
    <n v="54"/>
    <n v="20285.549999999996"/>
  </r>
  <r>
    <x v="148"/>
    <x v="148"/>
    <x v="4"/>
    <x v="148"/>
    <n v="149"/>
    <x v="148"/>
    <n v="1053.4100000000001"/>
    <n v="0"/>
    <n v="0"/>
    <s v="AFC"/>
    <n v="75949.19"/>
    <n v="54"/>
    <n v="20285.549999999996"/>
  </r>
  <r>
    <x v="149"/>
    <x v="149"/>
    <x v="3"/>
    <x v="149"/>
    <n v="150"/>
    <x v="149"/>
    <n v="1051.25"/>
    <n v="0"/>
    <n v="-1.5899999999999181"/>
    <s v="CAF"/>
    <n v="75949.19"/>
    <n v="54"/>
    <n v="20285.549999999996"/>
  </r>
  <r>
    <x v="150"/>
    <x v="150"/>
    <x v="1"/>
    <x v="150"/>
    <n v="152"/>
    <x v="150"/>
    <n v="1028.7"/>
    <n v="1"/>
    <n v="6.5"/>
    <s v="UEFA"/>
    <n v="75949.19"/>
    <n v="54"/>
    <n v="20285.549999999996"/>
  </r>
  <r>
    <x v="151"/>
    <x v="151"/>
    <x v="4"/>
    <x v="151"/>
    <n v="155"/>
    <x v="151"/>
    <n v="1019.19"/>
    <n v="3"/>
    <n v="14.710000000000036"/>
    <s v="AFC"/>
    <n v="75949.19"/>
    <n v="54"/>
    <n v="20285.549999999996"/>
  </r>
  <r>
    <x v="152"/>
    <x v="152"/>
    <x v="2"/>
    <x v="152"/>
    <n v="151"/>
    <x v="152"/>
    <n v="1031.8599999999999"/>
    <n v="-2"/>
    <n v="0"/>
    <s v="CONCACAF"/>
    <n v="75949.19"/>
    <n v="54"/>
    <n v="20285.549999999996"/>
  </r>
  <r>
    <x v="153"/>
    <x v="153"/>
    <x v="4"/>
    <x v="153"/>
    <n v="156"/>
    <x v="153"/>
    <n v="1018.25"/>
    <n v="2"/>
    <n v="7.8399999999999181"/>
    <s v="AFC"/>
    <n v="75949.19"/>
    <n v="54"/>
    <n v="20285.549999999996"/>
  </r>
  <r>
    <x v="154"/>
    <x v="154"/>
    <x v="4"/>
    <x v="154"/>
    <n v="153"/>
    <x v="154"/>
    <n v="1023.52"/>
    <n v="-2"/>
    <n v="0"/>
    <s v="AFC"/>
    <n v="75949.19"/>
    <n v="54"/>
    <n v="20285.549999999996"/>
  </r>
  <r>
    <x v="155"/>
    <x v="155"/>
    <x v="4"/>
    <x v="155"/>
    <n v="154"/>
    <x v="155"/>
    <n v="1023.04"/>
    <n v="-2"/>
    <n v="0"/>
    <s v="AFC"/>
    <n v="75949.19"/>
    <n v="54"/>
    <n v="20285.549999999996"/>
  </r>
  <r>
    <x v="156"/>
    <x v="156"/>
    <x v="4"/>
    <x v="156"/>
    <n v="157"/>
    <x v="156"/>
    <n v="1017.78"/>
    <n v="0"/>
    <n v="0"/>
    <s v="AFC"/>
    <n v="75949.19"/>
    <n v="54"/>
    <n v="20285.549999999996"/>
  </r>
  <r>
    <x v="157"/>
    <x v="157"/>
    <x v="4"/>
    <x v="157"/>
    <n v="158"/>
    <x v="157"/>
    <n v="1011.91"/>
    <n v="0"/>
    <n v="-4.0199999999999818"/>
    <s v="AFC"/>
    <n v="75949.19"/>
    <n v="54"/>
    <n v="20285.549999999996"/>
  </r>
  <r>
    <x v="158"/>
    <x v="158"/>
    <x v="5"/>
    <x v="158"/>
    <n v="161"/>
    <x v="158"/>
    <n v="997.6"/>
    <n v="2"/>
    <n v="9.8600000000000136"/>
    <s v="OFC"/>
    <n v="75949.19"/>
    <n v="54"/>
    <n v="20285.549999999996"/>
  </r>
  <r>
    <x v="159"/>
    <x v="159"/>
    <x v="4"/>
    <x v="159"/>
    <n v="159"/>
    <x v="159"/>
    <n v="1004.75"/>
    <n v="-1"/>
    <n v="-1.25"/>
    <s v="AFC"/>
    <n v="75949.19"/>
    <n v="54"/>
    <n v="20285.549999999996"/>
  </r>
  <r>
    <x v="160"/>
    <x v="160"/>
    <x v="5"/>
    <x v="160"/>
    <n v="160"/>
    <x v="160"/>
    <n v="999.7"/>
    <n v="-1"/>
    <n v="-4.1200000000000045"/>
    <s v="OFC"/>
    <n v="75949.19"/>
    <n v="54"/>
    <n v="20285.549999999996"/>
  </r>
  <r>
    <x v="161"/>
    <x v="161"/>
    <x v="5"/>
    <x v="161"/>
    <n v="162"/>
    <x v="161"/>
    <n v="995.11"/>
    <n v="0"/>
    <n v="0"/>
    <s v="OFC"/>
    <n v="75949.19"/>
    <n v="54"/>
    <n v="20285.549999999996"/>
  </r>
  <r>
    <x v="162"/>
    <x v="162"/>
    <x v="5"/>
    <x v="162"/>
    <n v="163"/>
    <x v="162"/>
    <n v="993.37"/>
    <n v="0"/>
    <n v="-3.9400000000000546"/>
    <s v="OFC"/>
    <n v="75949.19"/>
    <n v="54"/>
    <n v="20285.549999999996"/>
  </r>
  <r>
    <x v="163"/>
    <x v="163"/>
    <x v="5"/>
    <x v="163"/>
    <n v="164"/>
    <x v="163"/>
    <n v="990.55"/>
    <n v="0"/>
    <n v="-4.92999999999995"/>
    <s v="OFC"/>
    <n v="75949.19"/>
    <n v="54"/>
    <n v="20285.549999999996"/>
  </r>
  <r>
    <x v="164"/>
    <x v="164"/>
    <x v="3"/>
    <x v="164"/>
    <n v="165"/>
    <x v="164"/>
    <n v="983.99"/>
    <n v="0"/>
    <n v="0"/>
    <s v="CAF"/>
    <n v="75949.19"/>
    <n v="54"/>
    <n v="20285.549999999996"/>
  </r>
  <r>
    <x v="165"/>
    <x v="165"/>
    <x v="2"/>
    <x v="165"/>
    <n v="166"/>
    <x v="165"/>
    <n v="982.27"/>
    <n v="0"/>
    <n v="0"/>
    <s v="CONCACAF"/>
    <n v="75949.19"/>
    <n v="54"/>
    <n v="20285.549999999996"/>
  </r>
  <r>
    <x v="166"/>
    <x v="166"/>
    <x v="2"/>
    <x v="166"/>
    <n v="167"/>
    <x v="166"/>
    <n v="978.65"/>
    <n v="0"/>
    <n v="0"/>
    <s v="CONCACAF"/>
    <n v="75949.19"/>
    <n v="54"/>
    <n v="20285.549999999996"/>
  </r>
  <r>
    <x v="167"/>
    <x v="167"/>
    <x v="1"/>
    <x v="167"/>
    <n v="169"/>
    <x v="167"/>
    <n v="974.68"/>
    <n v="1"/>
    <n v="3.2400000000000091"/>
    <s v="UEFA"/>
    <n v="75949.19"/>
    <n v="54"/>
    <n v="20285.549999999996"/>
  </r>
  <r>
    <x v="168"/>
    <x v="168"/>
    <x v="2"/>
    <x v="168"/>
    <n v="168"/>
    <x v="168"/>
    <n v="977.47"/>
    <n v="-1"/>
    <n v="0"/>
    <s v="CONCACAF"/>
    <n v="75949.19"/>
    <n v="54"/>
    <n v="20285.549999999996"/>
  </r>
  <r>
    <x v="169"/>
    <x v="169"/>
    <x v="2"/>
    <x v="169"/>
    <n v="170"/>
    <x v="169"/>
    <n v="974.32"/>
    <n v="0"/>
    <n v="0"/>
    <s v="CONCACAF"/>
    <n v="75949.19"/>
    <n v="54"/>
    <n v="20285.549999999996"/>
  </r>
  <r>
    <x v="170"/>
    <x v="170"/>
    <x v="2"/>
    <x v="170"/>
    <n v="172"/>
    <x v="170"/>
    <n v="968.74"/>
    <n v="1"/>
    <n v="0"/>
    <s v="CONCACAF"/>
    <n v="75949.19"/>
    <n v="54"/>
    <n v="20285.549999999996"/>
  </r>
  <r>
    <x v="171"/>
    <x v="171"/>
    <x v="2"/>
    <x v="171"/>
    <n v="173"/>
    <x v="171"/>
    <n v="965.66"/>
    <n v="1"/>
    <n v="0"/>
    <s v="CONCACAF"/>
    <n v="75949.19"/>
    <n v="54"/>
    <n v="20285.549999999996"/>
  </r>
  <r>
    <x v="172"/>
    <x v="172"/>
    <x v="2"/>
    <x v="172"/>
    <n v="171"/>
    <x v="172"/>
    <n v="969"/>
    <n v="-2"/>
    <n v="-5.2799999999999727"/>
    <s v="CONCACAF"/>
    <n v="75949.19"/>
    <n v="54"/>
    <n v="20285.549999999996"/>
  </r>
  <r>
    <x v="173"/>
    <x v="173"/>
    <x v="1"/>
    <x v="173"/>
    <n v="177"/>
    <x v="173"/>
    <n v="944.96"/>
    <n v="3"/>
    <n v="16.269999999999982"/>
    <s v="UEFA"/>
    <n v="75949.19"/>
    <n v="54"/>
    <n v="20285.549999999996"/>
  </r>
  <r>
    <x v="174"/>
    <x v="174"/>
    <x v="4"/>
    <x v="174"/>
    <n v="176"/>
    <x v="174"/>
    <n v="950.45"/>
    <n v="1"/>
    <n v="4.4099999999999682"/>
    <s v="AFC"/>
    <n v="75949.19"/>
    <n v="54"/>
    <n v="20285.549999999996"/>
  </r>
  <r>
    <x v="175"/>
    <x v="175"/>
    <x v="2"/>
    <x v="175"/>
    <n v="175"/>
    <x v="175"/>
    <n v="950.88"/>
    <n v="-1"/>
    <n v="0"/>
    <s v="CONCACAF"/>
    <n v="75949.19"/>
    <n v="54"/>
    <n v="20285.549999999996"/>
  </r>
  <r>
    <x v="176"/>
    <x v="176"/>
    <x v="4"/>
    <x v="176"/>
    <n v="174"/>
    <x v="176"/>
    <n v="954.3"/>
    <n v="-3"/>
    <n v="-5.67999999999995"/>
    <s v="AFC"/>
    <n v="75949.19"/>
    <n v="54"/>
    <n v="20285.549999999996"/>
  </r>
  <r>
    <x v="177"/>
    <x v="177"/>
    <x v="2"/>
    <x v="177"/>
    <n v="179"/>
    <x v="177"/>
    <n v="939.97"/>
    <n v="1"/>
    <n v="5.2799999999999727"/>
    <s v="CONCACAF"/>
    <n v="75949.19"/>
    <n v="54"/>
    <n v="20285.549999999996"/>
  </r>
  <r>
    <x v="178"/>
    <x v="178"/>
    <x v="2"/>
    <x v="178"/>
    <n v="178"/>
    <x v="178"/>
    <n v="940.78"/>
    <n v="-1"/>
    <n v="0"/>
    <s v="CONCACAF"/>
    <n v="75949.19"/>
    <n v="54"/>
    <n v="20285.549999999996"/>
  </r>
  <r>
    <x v="179"/>
    <x v="179"/>
    <x v="3"/>
    <x v="179"/>
    <n v="180"/>
    <x v="179"/>
    <n v="932.02"/>
    <n v="0"/>
    <n v="0"/>
    <s v="CAF"/>
    <n v="75949.19"/>
    <n v="54"/>
    <n v="20285.549999999996"/>
  </r>
  <r>
    <x v="180"/>
    <x v="180"/>
    <x v="3"/>
    <x v="180"/>
    <n v="181"/>
    <x v="180"/>
    <n v="931.98"/>
    <n v="0"/>
    <n v="-1.7599999999999909"/>
    <s v="CAF"/>
    <n v="75949.19"/>
    <n v="54"/>
    <n v="20285.549999999996"/>
  </r>
  <r>
    <x v="181"/>
    <x v="181"/>
    <x v="4"/>
    <x v="181"/>
    <n v="182"/>
    <x v="181"/>
    <n v="922.1"/>
    <n v="0"/>
    <n v="0"/>
    <s v="AFC"/>
    <n v="75949.19"/>
    <n v="54"/>
    <n v="20285.549999999996"/>
  </r>
  <r>
    <x v="182"/>
    <x v="182"/>
    <x v="4"/>
    <x v="182"/>
    <n v="184"/>
    <x v="182"/>
    <n v="913.55"/>
    <n v="1"/>
    <n v="0"/>
    <s v="AFC"/>
    <n v="75949.19"/>
    <n v="54"/>
    <n v="20285.549999999996"/>
  </r>
  <r>
    <x v="183"/>
    <x v="183"/>
    <x v="2"/>
    <x v="183"/>
    <n v="185"/>
    <x v="183"/>
    <n v="911.51"/>
    <n v="1"/>
    <n v="0"/>
    <s v="CONCACAF"/>
    <n v="75949.19"/>
    <n v="54"/>
    <n v="20285.549999999996"/>
  </r>
  <r>
    <x v="184"/>
    <x v="184"/>
    <x v="4"/>
    <x v="184"/>
    <n v="186"/>
    <x v="184"/>
    <n v="910.96"/>
    <n v="1"/>
    <n v="0"/>
    <s v="AFC"/>
    <n v="75949.19"/>
    <n v="54"/>
    <n v="20285.549999999996"/>
  </r>
  <r>
    <x v="185"/>
    <x v="185"/>
    <x v="3"/>
    <x v="185"/>
    <n v="187"/>
    <x v="185"/>
    <n v="908.18"/>
    <n v="1"/>
    <n v="0"/>
    <s v="CAF"/>
    <n v="75949.19"/>
    <n v="54"/>
    <n v="20285.549999999996"/>
  </r>
  <r>
    <x v="186"/>
    <x v="186"/>
    <x v="4"/>
    <x v="186"/>
    <n v="183"/>
    <x v="186"/>
    <n v="914.66"/>
    <n v="-4"/>
    <n v="-9.1499999999999773"/>
    <s v="AFC"/>
    <n v="75949.19"/>
    <n v="54"/>
    <n v="20285.549999999996"/>
  </r>
  <r>
    <x v="187"/>
    <x v="187"/>
    <x v="5"/>
    <x v="187"/>
    <n v="188"/>
    <x v="187"/>
    <n v="900.27"/>
    <n v="0"/>
    <n v="0"/>
    <s v="OFC"/>
    <n v="75949.19"/>
    <n v="54"/>
    <n v="20285.549999999996"/>
  </r>
  <r>
    <x v="188"/>
    <x v="188"/>
    <x v="5"/>
    <x v="188"/>
    <n v="189"/>
    <x v="188"/>
    <n v="899.33"/>
    <n v="0"/>
    <n v="0"/>
    <s v="OFC"/>
    <n v="75949.19"/>
    <n v="54"/>
    <n v="20285.549999999996"/>
  </r>
  <r>
    <x v="189"/>
    <x v="189"/>
    <x v="4"/>
    <x v="189"/>
    <n v="190"/>
    <x v="189"/>
    <n v="897.1"/>
    <n v="0"/>
    <n v="1.3099999999999454"/>
    <s v="AFC"/>
    <n v="75949.19"/>
    <n v="54"/>
    <n v="20285.549999999996"/>
  </r>
  <r>
    <x v="190"/>
    <x v="190"/>
    <x v="5"/>
    <x v="190"/>
    <n v="191"/>
    <x v="190"/>
    <n v="894.26"/>
    <n v="0"/>
    <n v="0"/>
    <s v="OFC"/>
    <n v="75949.19"/>
    <n v="54"/>
    <n v="20285.549999999996"/>
  </r>
  <r>
    <x v="191"/>
    <x v="191"/>
    <x v="4"/>
    <x v="191"/>
    <n v="192"/>
    <x v="191"/>
    <n v="883.18"/>
    <n v="0"/>
    <n v="1.2700000000000955"/>
    <s v="AFC"/>
    <n v="75949.19"/>
    <n v="54"/>
    <n v="20285.549999999996"/>
  </r>
  <r>
    <x v="192"/>
    <x v="192"/>
    <x v="3"/>
    <x v="192"/>
    <n v="193"/>
    <x v="192"/>
    <n v="877.84"/>
    <n v="0"/>
    <n v="-2.7900000000000773"/>
    <s v="CAF"/>
    <n v="75949.19"/>
    <n v="54"/>
    <n v="20285.549999999996"/>
  </r>
  <r>
    <x v="193"/>
    <x v="193"/>
    <x v="4"/>
    <x v="193"/>
    <n v="195"/>
    <x v="193"/>
    <n v="866.81"/>
    <n v="1"/>
    <n v="0"/>
    <s v="AFC"/>
    <n v="75949.19"/>
    <n v="54"/>
    <n v="20285.549999999996"/>
  </r>
  <r>
    <x v="194"/>
    <x v="194"/>
    <x v="2"/>
    <x v="194"/>
    <n v="196"/>
    <x v="194"/>
    <n v="865.72"/>
    <n v="1"/>
    <n v="0"/>
    <s v="CONCACAF"/>
    <n v="75949.19"/>
    <n v="54"/>
    <n v="20285.549999999996"/>
  </r>
  <r>
    <x v="195"/>
    <x v="195"/>
    <x v="1"/>
    <x v="195"/>
    <n v="194"/>
    <x v="195"/>
    <n v="873.99"/>
    <n v="-2"/>
    <n v="-11.600000000000023"/>
    <s v="UEFA"/>
    <n v="75949.19"/>
    <n v="54"/>
    <n v="20285.549999999996"/>
  </r>
  <r>
    <x v="196"/>
    <x v="196"/>
    <x v="5"/>
    <x v="196"/>
    <n v="197"/>
    <x v="196"/>
    <n v="861.81"/>
    <n v="0"/>
    <n v="0"/>
    <s v="OFC"/>
    <n v="75949.19"/>
    <n v="54"/>
    <n v="20285.549999999996"/>
  </r>
  <r>
    <x v="197"/>
    <x v="197"/>
    <x v="4"/>
    <x v="197"/>
    <n v="199"/>
    <x v="197"/>
    <n v="860.06"/>
    <n v="1"/>
    <n v="0"/>
    <s v="AFC"/>
    <n v="75949.19"/>
    <n v="54"/>
    <n v="20285.549999999996"/>
  </r>
  <r>
    <x v="198"/>
    <x v="198"/>
    <x v="3"/>
    <x v="198"/>
    <n v="198"/>
    <x v="198"/>
    <n v="860.48"/>
    <n v="-1"/>
    <n v="-0.92000000000007276"/>
    <s v="CAF"/>
    <n v="75949.19"/>
    <n v="54"/>
    <n v="20285.549999999996"/>
  </r>
  <r>
    <x v="199"/>
    <x v="199"/>
    <x v="3"/>
    <x v="199"/>
    <n v="201"/>
    <x v="199"/>
    <n v="855.56"/>
    <n v="1"/>
    <n v="0"/>
    <s v="CAF"/>
    <n v="75949.19"/>
    <n v="54"/>
    <n v="20285.549999999996"/>
  </r>
  <r>
    <x v="200"/>
    <x v="200"/>
    <x v="2"/>
    <x v="200"/>
    <n v="202"/>
    <x v="200"/>
    <n v="855.37"/>
    <n v="1"/>
    <n v="0"/>
    <s v="CONCACAF"/>
    <n v="75949.19"/>
    <n v="54"/>
    <n v="20285.549999999996"/>
  </r>
  <r>
    <x v="201"/>
    <x v="201"/>
    <x v="2"/>
    <x v="201"/>
    <n v="203"/>
    <x v="201"/>
    <n v="854.8"/>
    <n v="1"/>
    <n v="0"/>
    <s v="CONCACAF"/>
    <n v="75949.19"/>
    <n v="54"/>
    <n v="20285.549999999996"/>
  </r>
  <r>
    <x v="202"/>
    <x v="202"/>
    <x v="3"/>
    <x v="202"/>
    <n v="204"/>
    <x v="202"/>
    <n v="854.72"/>
    <n v="1"/>
    <n v="0"/>
    <s v="CAF"/>
    <n v="75949.19"/>
    <n v="54"/>
    <n v="20285.549999999996"/>
  </r>
  <r>
    <x v="203"/>
    <x v="203"/>
    <x v="1"/>
    <x v="203"/>
    <n v="200"/>
    <x v="203"/>
    <n v="856.55"/>
    <n v="-4"/>
    <n v="-4.3899999999999864"/>
    <s v="UEFA"/>
    <n v="75949.19"/>
    <n v="54"/>
    <n v="20285.549999999996"/>
  </r>
  <r>
    <x v="204"/>
    <x v="204"/>
    <x v="4"/>
    <x v="204"/>
    <n v="205"/>
    <x v="204"/>
    <n v="838.33"/>
    <n v="0"/>
    <n v="0"/>
    <s v="AFC"/>
    <n v="75949.19"/>
    <n v="54"/>
    <n v="20285.549999999996"/>
  </r>
  <r>
    <x v="205"/>
    <x v="205"/>
    <x v="2"/>
    <x v="205"/>
    <n v="206"/>
    <x v="205"/>
    <n v="832"/>
    <n v="0"/>
    <n v="0"/>
    <s v="CONCACAF"/>
    <n v="75949.19"/>
    <n v="54"/>
    <n v="20285.549999999996"/>
  </r>
  <r>
    <x v="206"/>
    <x v="206"/>
    <x v="4"/>
    <x v="206"/>
    <n v="207"/>
    <x v="206"/>
    <n v="825.25"/>
    <n v="0"/>
    <n v="0"/>
    <s v="AFC"/>
    <n v="75949.19"/>
    <n v="54"/>
    <n v="20285.549999999996"/>
  </r>
  <r>
    <x v="207"/>
    <x v="207"/>
    <x v="2"/>
    <x v="207"/>
    <n v="208"/>
    <x v="207"/>
    <n v="823.97"/>
    <n v="0"/>
    <n v="0"/>
    <s v="CONCACAF"/>
    <n v="75949.19"/>
    <n v="54"/>
    <n v="20285.549999999996"/>
  </r>
  <r>
    <x v="208"/>
    <x v="208"/>
    <x v="2"/>
    <x v="208"/>
    <n v="209"/>
    <x v="208"/>
    <n v="809.32"/>
    <n v="0"/>
    <n v="0"/>
    <s v="CONCACAF"/>
    <n v="75949.19"/>
    <n v="54"/>
    <n v="20285.549999999996"/>
  </r>
  <r>
    <x v="209"/>
    <x v="209"/>
    <x v="2"/>
    <x v="209"/>
    <n v="210"/>
    <x v="209"/>
    <n v="790.74"/>
    <n v="0"/>
    <n v="0"/>
    <s v="CONCACAF"/>
    <n v="75949.19"/>
    <n v="54"/>
    <n v="20285.549999999996"/>
  </r>
  <r>
    <x v="210"/>
    <x v="210"/>
    <x v="1"/>
    <x v="210"/>
    <n v="211"/>
    <x v="210"/>
    <n v="763.82"/>
    <n v="0"/>
    <n v="-1.6000000000000227"/>
    <s v="UEFA"/>
    <n v="75949.19"/>
    <n v="54"/>
    <n v="20285.54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F1D27-C501-8C41-AC58-BB2C7C80BC35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15" firstHeaderRow="0" firstDataRow="1" firstDataCol="1" rowPageCount="1" colPageCount="1"/>
  <pivotFields count="13">
    <pivotField axis="axisRow" showAll="0">
      <items count="212">
        <item x="155"/>
        <item x="65"/>
        <item x="36"/>
        <item x="187"/>
        <item x="150"/>
        <item x="118"/>
        <item x="209"/>
        <item x="130"/>
        <item x="2"/>
        <item x="92"/>
        <item x="200"/>
        <item x="37"/>
        <item x="33"/>
        <item x="122"/>
        <item x="201"/>
        <item x="84"/>
        <item x="191"/>
        <item x="165"/>
        <item x="96"/>
        <item x="1"/>
        <item x="175"/>
        <item x="90"/>
        <item x="168"/>
        <item x="184"/>
        <item x="81"/>
        <item x="57"/>
        <item x="147"/>
        <item x="0"/>
        <item x="208"/>
        <item x="189"/>
        <item x="71"/>
        <item x="53"/>
        <item x="140"/>
        <item x="70"/>
        <item x="176"/>
        <item x="42"/>
        <item x="40"/>
        <item x="194"/>
        <item x="131"/>
        <item x="180"/>
        <item x="28"/>
        <item x="78"/>
        <item x="156"/>
        <item x="16"/>
        <item x="128"/>
        <item x="99"/>
        <item x="72"/>
        <item x="188"/>
        <item x="30"/>
        <item x="47"/>
        <item x="11"/>
        <item x="166"/>
        <item x="85"/>
        <item x="109"/>
        <item x="34"/>
        <item x="9"/>
        <item x="192"/>
        <item x="183"/>
        <item x="152"/>
        <item x="43"/>
        <item x="38"/>
        <item x="73"/>
        <item x="4"/>
        <item x="97"/>
        <item x="199"/>
        <item x="108"/>
        <item x="142"/>
        <item x="137"/>
        <item x="121"/>
        <item x="162"/>
        <item x="55"/>
        <item x="3"/>
        <item x="80"/>
        <item x="77"/>
        <item x="10"/>
        <item x="60"/>
        <item x="203"/>
        <item x="51"/>
        <item x="172"/>
        <item x="204"/>
        <item x="117"/>
        <item x="82"/>
        <item x="115"/>
        <item x="170"/>
        <item x="86"/>
        <item x="79"/>
        <item x="144"/>
        <item x="35"/>
        <item x="61"/>
        <item x="105"/>
        <item x="151"/>
        <item x="19"/>
        <item x="67"/>
        <item x="75"/>
        <item x="5"/>
        <item x="63"/>
        <item x="23"/>
        <item x="83"/>
        <item x="112"/>
        <item x="100"/>
        <item x="111"/>
        <item x="27"/>
        <item x="106"/>
        <item x="148"/>
        <item x="94"/>
        <item x="186"/>
        <item x="133"/>
        <item x="98"/>
        <item x="146"/>
        <item x="149"/>
        <item x="119"/>
        <item x="195"/>
        <item x="143"/>
        <item x="91"/>
        <item x="181"/>
        <item x="101"/>
        <item x="123"/>
        <item x="145"/>
        <item x="153"/>
        <item x="45"/>
        <item x="167"/>
        <item x="102"/>
        <item x="179"/>
        <item x="12"/>
        <item x="173"/>
        <item x="182"/>
        <item x="68"/>
        <item x="178"/>
        <item x="21"/>
        <item x="113"/>
        <item x="157"/>
        <item x="114"/>
        <item x="174"/>
        <item x="7"/>
        <item x="160"/>
        <item x="104"/>
        <item x="141"/>
        <item x="120"/>
        <item x="31"/>
        <item x="64"/>
        <item x="58"/>
        <item x="41"/>
        <item x="74"/>
        <item x="193"/>
        <item x="93"/>
        <item x="59"/>
        <item x="158"/>
        <item x="46"/>
        <item x="22"/>
        <item x="132"/>
        <item x="25"/>
        <item x="8"/>
        <item x="169"/>
        <item x="49"/>
        <item x="48"/>
        <item x="52"/>
        <item x="32"/>
        <item x="136"/>
        <item x="190"/>
        <item x="210"/>
        <item x="185"/>
        <item x="50"/>
        <item x="39"/>
        <item x="17"/>
        <item x="20"/>
        <item x="198"/>
        <item x="116"/>
        <item x="159"/>
        <item x="54"/>
        <item x="62"/>
        <item x="135"/>
        <item x="202"/>
        <item x="66"/>
        <item x="164"/>
        <item x="6"/>
        <item x="206"/>
        <item x="139"/>
        <item x="171"/>
        <item x="177"/>
        <item x="127"/>
        <item x="138"/>
        <item x="24"/>
        <item x="14"/>
        <item x="89"/>
        <item x="161"/>
        <item x="107"/>
        <item x="129"/>
        <item x="110"/>
        <item x="125"/>
        <item x="197"/>
        <item x="126"/>
        <item x="196"/>
        <item x="103"/>
        <item x="29"/>
        <item x="44"/>
        <item x="134"/>
        <item x="205"/>
        <item x="88"/>
        <item x="26"/>
        <item x="69"/>
        <item x="13"/>
        <item x="207"/>
        <item x="15"/>
        <item x="76"/>
        <item x="163"/>
        <item x="56"/>
        <item x="95"/>
        <item x="18"/>
        <item x="154"/>
        <item x="87"/>
        <item x="124"/>
        <item t="default"/>
      </items>
    </pivotField>
    <pivotField showAll="0"/>
    <pivotField axis="axisPage" showAll="0">
      <items count="7">
        <item x="4"/>
        <item x="3"/>
        <item x="2"/>
        <item x="0"/>
        <item x="5"/>
        <item x="1"/>
        <item t="default"/>
      </items>
    </pivotField>
    <pivotField dataField="1" showAll="0"/>
    <pivotField showAll="0"/>
    <pivotField dataField="1" showAll="0">
      <items count="212"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points" fld="5" baseField="0" baseItem="0"/>
    <dataField name="Sum of rank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BB65B-E1A2-0A49-B3A2-877D018D7D5A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I12" firstHeaderRow="1" firstDataRow="3" firstDataCol="1"/>
  <pivotFields count="13">
    <pivotField showAll="0"/>
    <pivotField showAll="0"/>
    <pivotField axis="axisRow" showAll="0">
      <items count="7">
        <item x="4"/>
        <item x="3"/>
        <item x="2"/>
        <item x="0"/>
        <item x="5"/>
        <item x="1"/>
        <item t="default"/>
      </items>
    </pivotField>
    <pivotField axis="axisCol" showAll="0">
      <items count="2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-2"/>
    <field x="3"/>
  </colFields>
  <colItems count="42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r="1" i="1">
      <x v="10"/>
    </i>
    <i r="1" i="1">
      <x v="11"/>
    </i>
    <i r="1" i="1">
      <x v="12"/>
    </i>
    <i r="1" i="1">
      <x v="13"/>
    </i>
    <i r="1" i="1">
      <x v="14"/>
    </i>
    <i r="1" i="1">
      <x v="15"/>
    </i>
    <i r="1" i="1">
      <x v="16"/>
    </i>
    <i r="1" i="1">
      <x v="17"/>
    </i>
    <i r="1" i="1">
      <x v="18"/>
    </i>
    <i r="1" i="1">
      <x v="19"/>
    </i>
    <i r="1" i="1">
      <x v="20"/>
    </i>
    <i r="1" i="1">
      <x v="21"/>
    </i>
    <i r="1" i="1">
      <x v="22"/>
    </i>
    <i r="1" i="1">
      <x v="23"/>
    </i>
    <i r="1" i="1">
      <x v="24"/>
    </i>
    <i r="1" i="1">
      <x v="25"/>
    </i>
    <i r="1" i="1">
      <x v="26"/>
    </i>
    <i r="1" i="1">
      <x v="27"/>
    </i>
    <i r="1" i="1">
      <x v="28"/>
    </i>
    <i r="1" i="1">
      <x v="29"/>
    </i>
    <i r="1" i="1">
      <x v="30"/>
    </i>
    <i r="1" i="1">
      <x v="31"/>
    </i>
    <i r="1" i="1">
      <x v="32"/>
    </i>
    <i r="1" i="1">
      <x v="33"/>
    </i>
    <i r="1" i="1">
      <x v="34"/>
    </i>
    <i r="1" i="1">
      <x v="35"/>
    </i>
    <i r="1" i="1">
      <x v="36"/>
    </i>
    <i r="1" i="1">
      <x v="37"/>
    </i>
    <i r="1" i="1">
      <x v="38"/>
    </i>
    <i r="1" i="1">
      <x v="39"/>
    </i>
    <i r="1" i="1">
      <x v="40"/>
    </i>
    <i r="1" i="1">
      <x v="41"/>
    </i>
    <i r="1" i="1">
      <x v="42"/>
    </i>
    <i r="1" i="1">
      <x v="43"/>
    </i>
    <i r="1" i="1">
      <x v="44"/>
    </i>
    <i r="1" i="1">
      <x v="45"/>
    </i>
    <i r="1" i="1">
      <x v="46"/>
    </i>
    <i r="1" i="1">
      <x v="47"/>
    </i>
    <i r="1" i="1">
      <x v="48"/>
    </i>
    <i r="1" i="1">
      <x v="49"/>
    </i>
    <i r="1" i="1">
      <x v="50"/>
    </i>
    <i r="1" i="1">
      <x v="51"/>
    </i>
    <i r="1" i="1">
      <x v="52"/>
    </i>
    <i r="1" i="1">
      <x v="53"/>
    </i>
    <i r="1" i="1">
      <x v="54"/>
    </i>
    <i r="1" i="1">
      <x v="55"/>
    </i>
    <i r="1" i="1">
      <x v="56"/>
    </i>
    <i r="1" i="1">
      <x v="57"/>
    </i>
    <i r="1" i="1">
      <x v="58"/>
    </i>
    <i r="1" i="1">
      <x v="59"/>
    </i>
    <i r="1" i="1">
      <x v="60"/>
    </i>
    <i r="1" i="1">
      <x v="61"/>
    </i>
    <i r="1" i="1">
      <x v="62"/>
    </i>
    <i r="1" i="1">
      <x v="63"/>
    </i>
    <i r="1" i="1">
      <x v="64"/>
    </i>
    <i r="1" i="1">
      <x v="65"/>
    </i>
    <i r="1" i="1">
      <x v="66"/>
    </i>
    <i r="1" i="1">
      <x v="67"/>
    </i>
    <i r="1" i="1">
      <x v="68"/>
    </i>
    <i r="1" i="1">
      <x v="69"/>
    </i>
    <i r="1" i="1">
      <x v="70"/>
    </i>
    <i r="1" i="1">
      <x v="71"/>
    </i>
    <i r="1" i="1">
      <x v="72"/>
    </i>
    <i r="1" i="1">
      <x v="73"/>
    </i>
    <i r="1" i="1">
      <x v="74"/>
    </i>
    <i r="1" i="1">
      <x v="75"/>
    </i>
    <i r="1" i="1">
      <x v="76"/>
    </i>
    <i r="1" i="1">
      <x v="77"/>
    </i>
    <i r="1" i="1">
      <x v="78"/>
    </i>
    <i r="1" i="1">
      <x v="79"/>
    </i>
    <i r="1" i="1">
      <x v="80"/>
    </i>
    <i r="1" i="1">
      <x v="81"/>
    </i>
    <i r="1" i="1">
      <x v="82"/>
    </i>
    <i r="1" i="1">
      <x v="83"/>
    </i>
    <i r="1" i="1">
      <x v="84"/>
    </i>
    <i r="1" i="1">
      <x v="85"/>
    </i>
    <i r="1" i="1">
      <x v="86"/>
    </i>
    <i r="1" i="1">
      <x v="87"/>
    </i>
    <i r="1" i="1">
      <x v="88"/>
    </i>
    <i r="1" i="1">
      <x v="89"/>
    </i>
    <i r="1" i="1">
      <x v="90"/>
    </i>
    <i r="1" i="1">
      <x v="91"/>
    </i>
    <i r="1" i="1">
      <x v="92"/>
    </i>
    <i r="1" i="1">
      <x v="93"/>
    </i>
    <i r="1" i="1">
      <x v="94"/>
    </i>
    <i r="1" i="1">
      <x v="95"/>
    </i>
    <i r="1" i="1">
      <x v="96"/>
    </i>
    <i r="1" i="1">
      <x v="97"/>
    </i>
    <i r="1" i="1">
      <x v="98"/>
    </i>
    <i r="1" i="1">
      <x v="99"/>
    </i>
    <i r="1" i="1">
      <x v="100"/>
    </i>
    <i r="1" i="1">
      <x v="101"/>
    </i>
    <i r="1" i="1">
      <x v="102"/>
    </i>
    <i r="1" i="1">
      <x v="103"/>
    </i>
    <i r="1" i="1">
      <x v="104"/>
    </i>
    <i r="1" i="1">
      <x v="105"/>
    </i>
    <i r="1" i="1">
      <x v="106"/>
    </i>
    <i r="1" i="1">
      <x v="107"/>
    </i>
    <i r="1" i="1">
      <x v="108"/>
    </i>
    <i r="1" i="1">
      <x v="109"/>
    </i>
    <i r="1" i="1">
      <x v="110"/>
    </i>
    <i r="1" i="1">
      <x v="111"/>
    </i>
    <i r="1" i="1">
      <x v="112"/>
    </i>
    <i r="1" i="1">
      <x v="113"/>
    </i>
    <i r="1" i="1">
      <x v="114"/>
    </i>
    <i r="1" i="1">
      <x v="115"/>
    </i>
    <i r="1" i="1">
      <x v="116"/>
    </i>
    <i r="1" i="1">
      <x v="117"/>
    </i>
    <i r="1" i="1">
      <x v="118"/>
    </i>
    <i r="1" i="1">
      <x v="119"/>
    </i>
    <i r="1" i="1">
      <x v="120"/>
    </i>
    <i r="1" i="1">
      <x v="121"/>
    </i>
    <i r="1" i="1">
      <x v="122"/>
    </i>
    <i r="1" i="1">
      <x v="123"/>
    </i>
    <i r="1" i="1">
      <x v="124"/>
    </i>
    <i r="1" i="1">
      <x v="125"/>
    </i>
    <i r="1" i="1">
      <x v="126"/>
    </i>
    <i r="1" i="1">
      <x v="127"/>
    </i>
    <i r="1" i="1">
      <x v="128"/>
    </i>
    <i r="1" i="1">
      <x v="129"/>
    </i>
    <i r="1" i="1">
      <x v="130"/>
    </i>
    <i r="1" i="1">
      <x v="131"/>
    </i>
    <i r="1" i="1">
      <x v="132"/>
    </i>
    <i r="1" i="1">
      <x v="133"/>
    </i>
    <i r="1" i="1">
      <x v="134"/>
    </i>
    <i r="1" i="1">
      <x v="135"/>
    </i>
    <i r="1" i="1">
      <x v="136"/>
    </i>
    <i r="1" i="1">
      <x v="137"/>
    </i>
    <i r="1" i="1">
      <x v="138"/>
    </i>
    <i r="1" i="1">
      <x v="139"/>
    </i>
    <i r="1" i="1">
      <x v="140"/>
    </i>
    <i r="1" i="1">
      <x v="141"/>
    </i>
    <i r="1" i="1">
      <x v="142"/>
    </i>
    <i r="1" i="1">
      <x v="143"/>
    </i>
    <i r="1" i="1">
      <x v="144"/>
    </i>
    <i r="1" i="1">
      <x v="145"/>
    </i>
    <i r="1" i="1">
      <x v="146"/>
    </i>
    <i r="1" i="1">
      <x v="147"/>
    </i>
    <i r="1" i="1">
      <x v="148"/>
    </i>
    <i r="1" i="1">
      <x v="149"/>
    </i>
    <i r="1" i="1">
      <x v="150"/>
    </i>
    <i r="1" i="1">
      <x v="151"/>
    </i>
    <i r="1" i="1">
      <x v="152"/>
    </i>
    <i r="1" i="1">
      <x v="153"/>
    </i>
    <i r="1" i="1">
      <x v="154"/>
    </i>
    <i r="1" i="1">
      <x v="155"/>
    </i>
    <i r="1" i="1">
      <x v="156"/>
    </i>
    <i r="1" i="1">
      <x v="157"/>
    </i>
    <i r="1" i="1">
      <x v="158"/>
    </i>
    <i r="1" i="1">
      <x v="159"/>
    </i>
    <i r="1" i="1">
      <x v="160"/>
    </i>
    <i r="1" i="1">
      <x v="161"/>
    </i>
    <i r="1" i="1">
      <x v="162"/>
    </i>
    <i r="1" i="1">
      <x v="163"/>
    </i>
    <i r="1" i="1">
      <x v="164"/>
    </i>
    <i r="1" i="1">
      <x v="165"/>
    </i>
    <i r="1" i="1">
      <x v="166"/>
    </i>
    <i r="1" i="1">
      <x v="167"/>
    </i>
    <i r="1" i="1">
      <x v="168"/>
    </i>
    <i r="1" i="1">
      <x v="169"/>
    </i>
    <i r="1" i="1">
      <x v="170"/>
    </i>
    <i r="1" i="1">
      <x v="171"/>
    </i>
    <i r="1" i="1">
      <x v="172"/>
    </i>
    <i r="1" i="1">
      <x v="173"/>
    </i>
    <i r="1" i="1">
      <x v="174"/>
    </i>
    <i r="1" i="1">
      <x v="175"/>
    </i>
    <i r="1" i="1">
      <x v="176"/>
    </i>
    <i r="1" i="1">
      <x v="177"/>
    </i>
    <i r="1" i="1">
      <x v="178"/>
    </i>
    <i r="1" i="1">
      <x v="179"/>
    </i>
    <i r="1" i="1">
      <x v="180"/>
    </i>
    <i r="1" i="1">
      <x v="181"/>
    </i>
    <i r="1" i="1">
      <x v="182"/>
    </i>
    <i r="1" i="1">
      <x v="183"/>
    </i>
    <i r="1" i="1">
      <x v="184"/>
    </i>
    <i r="1" i="1">
      <x v="185"/>
    </i>
    <i r="1" i="1">
      <x v="186"/>
    </i>
    <i r="1" i="1">
      <x v="187"/>
    </i>
    <i r="1" i="1">
      <x v="188"/>
    </i>
    <i r="1" i="1">
      <x v="189"/>
    </i>
    <i r="1" i="1">
      <x v="190"/>
    </i>
    <i r="1" i="1">
      <x v="191"/>
    </i>
    <i r="1" i="1">
      <x v="192"/>
    </i>
    <i r="1" i="1">
      <x v="193"/>
    </i>
    <i r="1" i="1">
      <x v="194"/>
    </i>
    <i r="1" i="1">
      <x v="195"/>
    </i>
    <i r="1" i="1">
      <x v="196"/>
    </i>
    <i r="1" i="1">
      <x v="197"/>
    </i>
    <i r="1" i="1">
      <x v="198"/>
    </i>
    <i r="1" i="1">
      <x v="199"/>
    </i>
    <i r="1" i="1">
      <x v="200"/>
    </i>
    <i r="1" i="1">
      <x v="201"/>
    </i>
    <i r="1" i="1">
      <x v="202"/>
    </i>
    <i r="1" i="1">
      <x v="203"/>
    </i>
    <i r="1" i="1">
      <x v="204"/>
    </i>
    <i r="1" i="1">
      <x v="205"/>
    </i>
    <i r="1" i="1">
      <x v="206"/>
    </i>
    <i r="1" i="1">
      <x v="207"/>
    </i>
    <i r="1" i="1">
      <x v="208"/>
    </i>
    <i r="1" i="1">
      <x v="209"/>
    </i>
    <i r="1" i="1">
      <x v="210"/>
    </i>
    <i t="grand">
      <x/>
    </i>
    <i t="grand" i="1">
      <x/>
    </i>
  </colItems>
  <dataFields count="2">
    <dataField name="Sum of points" fld="5" baseField="0" baseItem="0"/>
    <dataField name="Sum of previous_point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7C00F-52D0-D640-9E69-4DC9A531BB21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15" firstHeaderRow="0" firstDataRow="1" firstDataCol="1" rowPageCount="1" colPageCount="1"/>
  <pivotFields count="13">
    <pivotField axis="axisRow" showAll="0">
      <items count="212">
        <item x="155"/>
        <item x="65"/>
        <item x="36"/>
        <item x="187"/>
        <item x="150"/>
        <item x="118"/>
        <item x="209"/>
        <item x="130"/>
        <item x="2"/>
        <item x="92"/>
        <item x="200"/>
        <item x="37"/>
        <item x="33"/>
        <item x="122"/>
        <item x="201"/>
        <item x="84"/>
        <item x="191"/>
        <item x="165"/>
        <item x="96"/>
        <item x="1"/>
        <item x="175"/>
        <item x="90"/>
        <item x="168"/>
        <item x="184"/>
        <item x="81"/>
        <item x="57"/>
        <item x="147"/>
        <item x="0"/>
        <item x="208"/>
        <item x="189"/>
        <item x="71"/>
        <item x="53"/>
        <item x="140"/>
        <item x="70"/>
        <item x="176"/>
        <item x="42"/>
        <item x="40"/>
        <item x="194"/>
        <item x="131"/>
        <item x="180"/>
        <item x="28"/>
        <item x="78"/>
        <item x="156"/>
        <item x="16"/>
        <item x="128"/>
        <item x="99"/>
        <item x="72"/>
        <item x="188"/>
        <item x="30"/>
        <item x="47"/>
        <item x="11"/>
        <item x="166"/>
        <item x="85"/>
        <item x="109"/>
        <item x="34"/>
        <item x="9"/>
        <item x="192"/>
        <item x="183"/>
        <item x="152"/>
        <item x="43"/>
        <item x="38"/>
        <item x="73"/>
        <item x="4"/>
        <item x="97"/>
        <item x="199"/>
        <item x="108"/>
        <item x="142"/>
        <item x="137"/>
        <item x="121"/>
        <item x="162"/>
        <item x="55"/>
        <item x="3"/>
        <item x="80"/>
        <item x="77"/>
        <item x="10"/>
        <item x="60"/>
        <item x="203"/>
        <item x="51"/>
        <item x="172"/>
        <item x="204"/>
        <item x="117"/>
        <item x="82"/>
        <item x="115"/>
        <item x="170"/>
        <item x="86"/>
        <item x="79"/>
        <item x="144"/>
        <item x="35"/>
        <item x="61"/>
        <item x="105"/>
        <item x="151"/>
        <item x="19"/>
        <item x="67"/>
        <item x="75"/>
        <item x="5"/>
        <item x="63"/>
        <item x="23"/>
        <item x="83"/>
        <item x="112"/>
        <item x="100"/>
        <item x="111"/>
        <item x="27"/>
        <item x="106"/>
        <item x="148"/>
        <item x="94"/>
        <item x="186"/>
        <item x="133"/>
        <item x="98"/>
        <item x="146"/>
        <item x="149"/>
        <item x="119"/>
        <item x="195"/>
        <item x="143"/>
        <item x="91"/>
        <item x="181"/>
        <item x="101"/>
        <item x="123"/>
        <item x="145"/>
        <item x="153"/>
        <item x="45"/>
        <item x="167"/>
        <item x="102"/>
        <item x="179"/>
        <item x="12"/>
        <item x="173"/>
        <item x="182"/>
        <item x="68"/>
        <item x="178"/>
        <item x="21"/>
        <item x="113"/>
        <item x="157"/>
        <item x="114"/>
        <item x="174"/>
        <item x="7"/>
        <item x="160"/>
        <item x="104"/>
        <item x="141"/>
        <item x="120"/>
        <item x="31"/>
        <item x="64"/>
        <item x="58"/>
        <item x="41"/>
        <item x="74"/>
        <item x="193"/>
        <item x="93"/>
        <item x="59"/>
        <item x="158"/>
        <item x="46"/>
        <item x="22"/>
        <item x="132"/>
        <item x="25"/>
        <item x="8"/>
        <item x="169"/>
        <item x="49"/>
        <item x="48"/>
        <item x="52"/>
        <item x="32"/>
        <item x="136"/>
        <item x="190"/>
        <item x="210"/>
        <item x="185"/>
        <item x="50"/>
        <item x="39"/>
        <item x="17"/>
        <item x="20"/>
        <item x="198"/>
        <item x="116"/>
        <item x="159"/>
        <item x="54"/>
        <item x="62"/>
        <item x="135"/>
        <item x="202"/>
        <item x="66"/>
        <item x="164"/>
        <item x="6"/>
        <item x="206"/>
        <item x="139"/>
        <item x="171"/>
        <item x="177"/>
        <item x="127"/>
        <item x="138"/>
        <item x="24"/>
        <item x="14"/>
        <item x="89"/>
        <item x="161"/>
        <item x="107"/>
        <item x="129"/>
        <item x="110"/>
        <item x="125"/>
        <item x="197"/>
        <item x="126"/>
        <item x="196"/>
        <item x="103"/>
        <item x="29"/>
        <item x="44"/>
        <item x="134"/>
        <item x="205"/>
        <item x="88"/>
        <item x="26"/>
        <item x="69"/>
        <item x="13"/>
        <item x="207"/>
        <item x="15"/>
        <item x="76"/>
        <item x="163"/>
        <item x="56"/>
        <item x="95"/>
        <item x="18"/>
        <item x="154"/>
        <item x="87"/>
        <item x="124"/>
        <item t="default"/>
      </items>
    </pivotField>
    <pivotField showAll="0"/>
    <pivotField axis="axisPage" showAll="0">
      <items count="7">
        <item x="4"/>
        <item x="3"/>
        <item x="2"/>
        <item x="0"/>
        <item x="5"/>
        <item x="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rank" fld="3" baseField="0" baseItem="0"/>
    <dataField name="Sum of previous_rank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ECA80-2F50-1346-9DAC-F8996D537B21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15" firstHeaderRow="0" firstDataRow="1" firstDataCol="1" rowPageCount="1" colPageCount="1"/>
  <pivotFields count="13">
    <pivotField axis="axisRow" showAll="0" sortType="descending">
      <items count="212">
        <item x="124"/>
        <item x="87"/>
        <item x="154"/>
        <item x="18"/>
        <item x="95"/>
        <item x="56"/>
        <item x="163"/>
        <item x="76"/>
        <item x="15"/>
        <item x="207"/>
        <item x="13"/>
        <item x="69"/>
        <item x="26"/>
        <item x="88"/>
        <item x="205"/>
        <item x="134"/>
        <item x="44"/>
        <item x="29"/>
        <item x="103"/>
        <item x="196"/>
        <item x="126"/>
        <item x="197"/>
        <item x="125"/>
        <item x="110"/>
        <item x="129"/>
        <item x="107"/>
        <item x="161"/>
        <item x="89"/>
        <item x="14"/>
        <item x="24"/>
        <item x="138"/>
        <item x="127"/>
        <item x="177"/>
        <item x="171"/>
        <item x="139"/>
        <item x="206"/>
        <item x="6"/>
        <item x="164"/>
        <item x="66"/>
        <item x="202"/>
        <item x="135"/>
        <item x="62"/>
        <item x="54"/>
        <item x="159"/>
        <item x="116"/>
        <item x="198"/>
        <item x="20"/>
        <item x="17"/>
        <item x="39"/>
        <item x="50"/>
        <item x="185"/>
        <item x="210"/>
        <item x="190"/>
        <item x="136"/>
        <item x="32"/>
        <item x="52"/>
        <item x="48"/>
        <item x="49"/>
        <item x="169"/>
        <item x="8"/>
        <item x="25"/>
        <item x="132"/>
        <item x="22"/>
        <item x="46"/>
        <item x="158"/>
        <item x="59"/>
        <item x="93"/>
        <item x="193"/>
        <item x="74"/>
        <item x="41"/>
        <item x="58"/>
        <item x="64"/>
        <item x="31"/>
        <item x="120"/>
        <item x="141"/>
        <item x="104"/>
        <item x="160"/>
        <item x="7"/>
        <item x="174"/>
        <item x="114"/>
        <item x="157"/>
        <item x="113"/>
        <item x="21"/>
        <item x="178"/>
        <item x="68"/>
        <item x="182"/>
        <item x="173"/>
        <item x="12"/>
        <item x="179"/>
        <item x="102"/>
        <item x="167"/>
        <item x="45"/>
        <item x="153"/>
        <item x="145"/>
        <item x="123"/>
        <item x="101"/>
        <item x="181"/>
        <item x="91"/>
        <item x="143"/>
        <item x="195"/>
        <item x="119"/>
        <item x="149"/>
        <item x="146"/>
        <item x="98"/>
        <item x="133"/>
        <item x="186"/>
        <item x="94"/>
        <item x="148"/>
        <item x="106"/>
        <item x="27"/>
        <item x="111"/>
        <item x="100"/>
        <item x="112"/>
        <item x="83"/>
        <item x="23"/>
        <item x="63"/>
        <item x="5"/>
        <item x="75"/>
        <item x="67"/>
        <item x="19"/>
        <item x="151"/>
        <item x="105"/>
        <item x="61"/>
        <item x="35"/>
        <item x="144"/>
        <item x="79"/>
        <item x="86"/>
        <item x="170"/>
        <item x="115"/>
        <item x="82"/>
        <item x="117"/>
        <item x="204"/>
        <item x="172"/>
        <item x="51"/>
        <item x="203"/>
        <item x="60"/>
        <item x="10"/>
        <item x="77"/>
        <item x="80"/>
        <item x="3"/>
        <item x="55"/>
        <item x="162"/>
        <item x="121"/>
        <item x="137"/>
        <item x="142"/>
        <item x="108"/>
        <item x="199"/>
        <item x="97"/>
        <item x="4"/>
        <item x="73"/>
        <item x="38"/>
        <item x="43"/>
        <item x="152"/>
        <item x="183"/>
        <item x="192"/>
        <item x="9"/>
        <item x="34"/>
        <item x="109"/>
        <item x="85"/>
        <item x="166"/>
        <item x="11"/>
        <item x="47"/>
        <item x="30"/>
        <item x="188"/>
        <item x="72"/>
        <item x="99"/>
        <item x="128"/>
        <item x="16"/>
        <item x="156"/>
        <item x="78"/>
        <item x="28"/>
        <item x="180"/>
        <item x="131"/>
        <item x="194"/>
        <item x="40"/>
        <item x="42"/>
        <item x="176"/>
        <item x="70"/>
        <item x="140"/>
        <item x="53"/>
        <item x="71"/>
        <item x="189"/>
        <item x="208"/>
        <item x="0"/>
        <item x="147"/>
        <item x="57"/>
        <item x="81"/>
        <item x="184"/>
        <item x="168"/>
        <item x="90"/>
        <item x="175"/>
        <item x="1"/>
        <item x="96"/>
        <item x="165"/>
        <item x="191"/>
        <item x="84"/>
        <item x="201"/>
        <item x="122"/>
        <item x="33"/>
        <item x="37"/>
        <item x="200"/>
        <item x="92"/>
        <item x="2"/>
        <item x="130"/>
        <item x="209"/>
        <item x="118"/>
        <item x="150"/>
        <item x="187"/>
        <item x="36"/>
        <item x="65"/>
        <item x="155"/>
        <item t="default"/>
      </items>
    </pivotField>
    <pivotField showAll="0"/>
    <pivotField axis="axisPage" showAll="0">
      <items count="7">
        <item x="4"/>
        <item x="3"/>
        <item x="2"/>
        <item x="0"/>
        <item x="5"/>
        <item x="1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points" fld="5" baseField="0" baseItem="0"/>
    <dataField name="Sum of previous_point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1EF34E-E28C-B245-B6D6-1D7E796303A8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5" firstHeaderRow="1" firstDataRow="1" firstDataCol="1" rowPageCount="1" colPageCount="1"/>
  <pivotFields count="13">
    <pivotField axis="axisPage" showAll="0">
      <items count="212">
        <item x="155"/>
        <item x="65"/>
        <item x="36"/>
        <item x="187"/>
        <item x="150"/>
        <item x="118"/>
        <item x="209"/>
        <item x="130"/>
        <item x="2"/>
        <item x="92"/>
        <item x="200"/>
        <item x="37"/>
        <item x="33"/>
        <item x="122"/>
        <item x="201"/>
        <item x="84"/>
        <item x="191"/>
        <item x="165"/>
        <item x="96"/>
        <item x="1"/>
        <item x="175"/>
        <item x="90"/>
        <item x="168"/>
        <item x="184"/>
        <item x="81"/>
        <item x="57"/>
        <item x="147"/>
        <item x="0"/>
        <item x="208"/>
        <item x="189"/>
        <item x="71"/>
        <item x="53"/>
        <item x="140"/>
        <item x="70"/>
        <item x="176"/>
        <item x="42"/>
        <item x="40"/>
        <item x="194"/>
        <item x="131"/>
        <item x="180"/>
        <item x="28"/>
        <item x="78"/>
        <item x="156"/>
        <item x="16"/>
        <item x="128"/>
        <item x="99"/>
        <item x="72"/>
        <item x="188"/>
        <item x="30"/>
        <item x="47"/>
        <item x="11"/>
        <item x="166"/>
        <item x="85"/>
        <item x="109"/>
        <item x="34"/>
        <item x="9"/>
        <item x="192"/>
        <item x="183"/>
        <item x="152"/>
        <item x="43"/>
        <item x="38"/>
        <item x="73"/>
        <item x="4"/>
        <item x="97"/>
        <item x="199"/>
        <item x="108"/>
        <item x="142"/>
        <item x="137"/>
        <item x="121"/>
        <item x="162"/>
        <item x="55"/>
        <item x="3"/>
        <item x="80"/>
        <item x="77"/>
        <item x="10"/>
        <item x="60"/>
        <item x="203"/>
        <item x="51"/>
        <item x="172"/>
        <item x="204"/>
        <item x="117"/>
        <item x="82"/>
        <item x="115"/>
        <item x="170"/>
        <item x="86"/>
        <item x="79"/>
        <item x="144"/>
        <item x="35"/>
        <item x="61"/>
        <item x="105"/>
        <item x="151"/>
        <item x="19"/>
        <item x="67"/>
        <item x="75"/>
        <item x="5"/>
        <item x="63"/>
        <item x="23"/>
        <item x="83"/>
        <item x="112"/>
        <item x="100"/>
        <item x="111"/>
        <item x="27"/>
        <item x="106"/>
        <item x="148"/>
        <item x="94"/>
        <item x="186"/>
        <item x="133"/>
        <item x="98"/>
        <item x="146"/>
        <item x="149"/>
        <item x="119"/>
        <item x="195"/>
        <item x="143"/>
        <item x="91"/>
        <item x="181"/>
        <item x="101"/>
        <item x="123"/>
        <item x="145"/>
        <item x="153"/>
        <item x="45"/>
        <item x="167"/>
        <item x="102"/>
        <item x="179"/>
        <item x="12"/>
        <item x="173"/>
        <item x="182"/>
        <item x="68"/>
        <item x="178"/>
        <item x="21"/>
        <item x="113"/>
        <item x="157"/>
        <item x="114"/>
        <item x="174"/>
        <item x="7"/>
        <item x="160"/>
        <item x="104"/>
        <item x="141"/>
        <item x="120"/>
        <item x="31"/>
        <item x="64"/>
        <item x="58"/>
        <item x="41"/>
        <item x="74"/>
        <item x="193"/>
        <item x="93"/>
        <item x="59"/>
        <item x="158"/>
        <item x="46"/>
        <item x="22"/>
        <item x="132"/>
        <item x="25"/>
        <item x="8"/>
        <item x="169"/>
        <item x="49"/>
        <item x="48"/>
        <item x="52"/>
        <item x="32"/>
        <item x="136"/>
        <item x="190"/>
        <item x="210"/>
        <item x="185"/>
        <item x="50"/>
        <item x="39"/>
        <item x="17"/>
        <item x="20"/>
        <item x="198"/>
        <item x="116"/>
        <item x="159"/>
        <item x="54"/>
        <item x="62"/>
        <item x="135"/>
        <item x="202"/>
        <item x="66"/>
        <item x="164"/>
        <item x="6"/>
        <item x="206"/>
        <item x="139"/>
        <item x="171"/>
        <item x="177"/>
        <item x="127"/>
        <item x="138"/>
        <item x="24"/>
        <item x="14"/>
        <item x="89"/>
        <item x="161"/>
        <item x="107"/>
        <item x="129"/>
        <item x="110"/>
        <item x="125"/>
        <item x="197"/>
        <item x="126"/>
        <item x="196"/>
        <item x="103"/>
        <item x="29"/>
        <item x="44"/>
        <item x="134"/>
        <item x="205"/>
        <item x="88"/>
        <item x="26"/>
        <item x="69"/>
        <item x="13"/>
        <item x="207"/>
        <item x="15"/>
        <item x="76"/>
        <item x="163"/>
        <item x="56"/>
        <item x="95"/>
        <item x="18"/>
        <item x="154"/>
        <item x="87"/>
        <item x="124"/>
        <item t="default"/>
      </items>
    </pivotField>
    <pivotField axis="axisRow" showAll="0">
      <items count="212">
        <item x="21"/>
        <item x="155"/>
        <item x="209"/>
        <item x="65"/>
        <item x="36"/>
        <item x="150"/>
        <item x="118"/>
        <item x="2"/>
        <item x="92"/>
        <item x="200"/>
        <item x="187"/>
        <item x="130"/>
        <item x="37"/>
        <item x="33"/>
        <item x="122"/>
        <item x="201"/>
        <item x="191"/>
        <item x="140"/>
        <item x="1"/>
        <item x="90"/>
        <item x="168"/>
        <item x="53"/>
        <item x="84"/>
        <item x="184"/>
        <item x="57"/>
        <item x="96"/>
        <item x="175"/>
        <item x="81"/>
        <item x="147"/>
        <item x="0"/>
        <item x="165"/>
        <item x="189"/>
        <item x="71"/>
        <item x="176"/>
        <item x="40"/>
        <item x="194"/>
        <item x="99"/>
        <item x="180"/>
        <item x="28"/>
        <item x="78"/>
        <item x="47"/>
        <item x="42"/>
        <item x="72"/>
        <item x="188"/>
        <item x="16"/>
        <item x="128"/>
        <item x="70"/>
        <item x="30"/>
        <item x="11"/>
        <item x="131"/>
        <item x="166"/>
        <item x="85"/>
        <item x="109"/>
        <item x="34"/>
        <item x="9"/>
        <item x="192"/>
        <item x="183"/>
        <item x="152"/>
        <item x="43"/>
        <item x="38"/>
        <item x="4"/>
        <item x="97"/>
        <item x="199"/>
        <item x="6"/>
        <item x="108"/>
        <item x="137"/>
        <item x="162"/>
        <item x="55"/>
        <item x="3"/>
        <item x="121"/>
        <item x="80"/>
        <item x="125"/>
        <item x="77"/>
        <item x="10"/>
        <item x="60"/>
        <item x="203"/>
        <item x="115"/>
        <item x="51"/>
        <item x="172"/>
        <item x="117"/>
        <item x="82"/>
        <item x="204"/>
        <item x="170"/>
        <item x="86"/>
        <item x="144"/>
        <item x="79"/>
        <item x="35"/>
        <item x="151"/>
        <item x="105"/>
        <item x="48"/>
        <item x="19"/>
        <item x="67"/>
        <item x="61"/>
        <item x="75"/>
        <item x="5"/>
        <item x="63"/>
        <item x="83"/>
        <item x="23"/>
        <item x="112"/>
        <item x="100"/>
        <item x="94"/>
        <item x="27"/>
        <item x="106"/>
        <item x="50"/>
        <item x="148"/>
        <item x="186"/>
        <item x="98"/>
        <item x="149"/>
        <item x="119"/>
        <item x="171"/>
        <item x="146"/>
        <item x="195"/>
        <item x="143"/>
        <item x="91"/>
        <item x="133"/>
        <item x="181"/>
        <item x="101"/>
        <item x="145"/>
        <item x="173"/>
        <item x="153"/>
        <item x="12"/>
        <item x="64"/>
        <item x="45"/>
        <item x="167"/>
        <item x="68"/>
        <item x="182"/>
        <item x="113"/>
        <item x="179"/>
        <item x="178"/>
        <item x="102"/>
        <item x="123"/>
        <item x="157"/>
        <item x="114"/>
        <item x="141"/>
        <item x="160"/>
        <item x="7"/>
        <item x="174"/>
        <item x="31"/>
        <item x="120"/>
        <item x="58"/>
        <item x="41"/>
        <item x="104"/>
        <item x="74"/>
        <item x="193"/>
        <item x="59"/>
        <item x="46"/>
        <item x="22"/>
        <item x="132"/>
        <item x="93"/>
        <item x="158"/>
        <item x="25"/>
        <item x="8"/>
        <item x="111"/>
        <item x="169"/>
        <item x="49"/>
        <item x="52"/>
        <item x="66"/>
        <item x="32"/>
        <item x="136"/>
        <item x="190"/>
        <item x="39"/>
        <item x="127"/>
        <item x="17"/>
        <item x="198"/>
        <item x="159"/>
        <item x="139"/>
        <item x="116"/>
        <item x="73"/>
        <item x="210"/>
        <item x="135"/>
        <item x="202"/>
        <item x="20"/>
        <item x="206"/>
        <item x="164"/>
        <item x="185"/>
        <item x="14"/>
        <item x="138"/>
        <item x="54"/>
        <item x="62"/>
        <item x="24"/>
        <item x="142"/>
        <item x="89"/>
        <item x="161"/>
        <item x="129"/>
        <item x="205"/>
        <item x="196"/>
        <item x="110"/>
        <item x="107"/>
        <item x="134"/>
        <item x="197"/>
        <item x="126"/>
        <item x="156"/>
        <item x="103"/>
        <item x="29"/>
        <item x="44"/>
        <item x="69"/>
        <item x="88"/>
        <item x="26"/>
        <item x="13"/>
        <item x="15"/>
        <item x="76"/>
        <item x="163"/>
        <item x="56"/>
        <item x="208"/>
        <item x="95"/>
        <item x="177"/>
        <item x="207"/>
        <item x="18"/>
        <item x="154"/>
        <item x="87"/>
        <item x="12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 t="grand">
      <x/>
    </i>
  </rowItems>
  <colItems count="1">
    <i/>
  </colItems>
  <pageFields count="1">
    <pageField fld="0" hier="-1"/>
  </pageFields>
  <dataFields count="1">
    <dataField name="Sum of poin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14CD6-A78C-D24E-8098-FC5107AD3064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5" firstHeaderRow="0" firstDataRow="1" firstDataCol="1" rowPageCount="1" colPageCount="1"/>
  <pivotFields count="13">
    <pivotField axis="axisRow" showAll="0">
      <items count="212">
        <item x="155"/>
        <item x="65"/>
        <item x="36"/>
        <item x="187"/>
        <item x="150"/>
        <item x="118"/>
        <item x="209"/>
        <item x="130"/>
        <item x="2"/>
        <item x="92"/>
        <item x="200"/>
        <item x="37"/>
        <item x="33"/>
        <item x="122"/>
        <item x="201"/>
        <item x="84"/>
        <item x="191"/>
        <item x="165"/>
        <item x="96"/>
        <item x="1"/>
        <item x="175"/>
        <item x="90"/>
        <item x="168"/>
        <item x="184"/>
        <item x="81"/>
        <item x="57"/>
        <item x="147"/>
        <item x="0"/>
        <item x="208"/>
        <item x="189"/>
        <item x="71"/>
        <item x="53"/>
        <item x="140"/>
        <item x="70"/>
        <item x="176"/>
        <item x="42"/>
        <item x="40"/>
        <item x="194"/>
        <item x="131"/>
        <item x="180"/>
        <item x="28"/>
        <item x="78"/>
        <item x="156"/>
        <item x="16"/>
        <item x="128"/>
        <item x="99"/>
        <item x="72"/>
        <item x="188"/>
        <item x="30"/>
        <item x="47"/>
        <item x="11"/>
        <item x="166"/>
        <item x="85"/>
        <item x="109"/>
        <item x="34"/>
        <item x="9"/>
        <item x="192"/>
        <item x="183"/>
        <item x="152"/>
        <item x="43"/>
        <item x="38"/>
        <item x="73"/>
        <item x="4"/>
        <item x="97"/>
        <item x="199"/>
        <item x="108"/>
        <item x="142"/>
        <item x="137"/>
        <item x="121"/>
        <item x="162"/>
        <item x="55"/>
        <item x="3"/>
        <item x="80"/>
        <item x="77"/>
        <item x="10"/>
        <item x="60"/>
        <item x="203"/>
        <item x="51"/>
        <item x="172"/>
        <item x="204"/>
        <item x="117"/>
        <item x="82"/>
        <item x="115"/>
        <item x="170"/>
        <item x="86"/>
        <item x="79"/>
        <item x="144"/>
        <item x="35"/>
        <item x="61"/>
        <item x="105"/>
        <item x="151"/>
        <item x="19"/>
        <item x="67"/>
        <item x="75"/>
        <item x="5"/>
        <item x="63"/>
        <item x="23"/>
        <item x="83"/>
        <item x="112"/>
        <item x="100"/>
        <item x="111"/>
        <item x="27"/>
        <item x="106"/>
        <item x="148"/>
        <item x="94"/>
        <item x="186"/>
        <item x="133"/>
        <item x="98"/>
        <item x="146"/>
        <item x="149"/>
        <item x="119"/>
        <item x="195"/>
        <item x="143"/>
        <item x="91"/>
        <item x="181"/>
        <item x="101"/>
        <item x="123"/>
        <item x="145"/>
        <item x="153"/>
        <item x="45"/>
        <item x="167"/>
        <item x="102"/>
        <item x="179"/>
        <item x="12"/>
        <item x="173"/>
        <item x="182"/>
        <item x="68"/>
        <item x="178"/>
        <item x="21"/>
        <item x="113"/>
        <item x="157"/>
        <item x="114"/>
        <item x="174"/>
        <item x="7"/>
        <item x="160"/>
        <item x="104"/>
        <item x="141"/>
        <item x="120"/>
        <item x="31"/>
        <item x="64"/>
        <item x="58"/>
        <item x="41"/>
        <item x="74"/>
        <item x="193"/>
        <item x="93"/>
        <item x="59"/>
        <item x="158"/>
        <item x="46"/>
        <item x="22"/>
        <item x="132"/>
        <item x="25"/>
        <item x="8"/>
        <item x="169"/>
        <item x="49"/>
        <item x="48"/>
        <item x="52"/>
        <item x="32"/>
        <item x="136"/>
        <item x="190"/>
        <item x="210"/>
        <item x="185"/>
        <item x="50"/>
        <item x="39"/>
        <item x="17"/>
        <item x="20"/>
        <item x="198"/>
        <item x="116"/>
        <item x="159"/>
        <item x="54"/>
        <item x="62"/>
        <item x="135"/>
        <item x="202"/>
        <item x="66"/>
        <item x="164"/>
        <item x="6"/>
        <item x="206"/>
        <item x="139"/>
        <item x="171"/>
        <item x="177"/>
        <item x="127"/>
        <item x="138"/>
        <item x="24"/>
        <item x="14"/>
        <item x="89"/>
        <item x="161"/>
        <item x="107"/>
        <item x="129"/>
        <item x="110"/>
        <item x="125"/>
        <item x="197"/>
        <item x="126"/>
        <item x="196"/>
        <item x="103"/>
        <item x="29"/>
        <item x="44"/>
        <item x="134"/>
        <item x="205"/>
        <item x="88"/>
        <item x="26"/>
        <item x="69"/>
        <item x="13"/>
        <item x="207"/>
        <item x="15"/>
        <item x="76"/>
        <item x="163"/>
        <item x="56"/>
        <item x="95"/>
        <item x="18"/>
        <item x="154"/>
        <item x="87"/>
        <item x="124"/>
        <item t="default"/>
      </items>
    </pivotField>
    <pivotField showAll="0"/>
    <pivotField axis="axisPage" showAll="0">
      <items count="7">
        <item x="4"/>
        <item x="3"/>
        <item x="2"/>
        <item x="0"/>
        <item x="5"/>
        <item x="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2" hier="-1"/>
  </pageFields>
  <dataFields count="6">
    <dataField name="Sum of Column1" fld="7" baseField="0" baseItem="0"/>
    <dataField name="Sum of Column2" fld="8" baseField="0" baseItem="0"/>
    <dataField name="Count of Column3" fld="9" subtotal="count" baseField="0" baseItem="0"/>
    <dataField name="Sum of Column4" fld="10" baseField="0" baseItem="0"/>
    <dataField name="Sum of Column5" fld="11" baseField="0" baseItem="0"/>
    <dataField name="Sum of Column6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D73BB-CA9E-FF44-861F-01B490D61DA0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C217" firstHeaderRow="1" firstDataRow="3" firstDataCol="1" rowPageCount="1" colPageCount="1"/>
  <pivotFields count="13">
    <pivotField axis="axisRow" showAll="0">
      <items count="212">
        <item x="155"/>
        <item x="65"/>
        <item x="36"/>
        <item x="187"/>
        <item x="150"/>
        <item x="118"/>
        <item x="209"/>
        <item x="130"/>
        <item x="2"/>
        <item x="92"/>
        <item x="200"/>
        <item x="37"/>
        <item x="33"/>
        <item x="122"/>
        <item x="201"/>
        <item x="84"/>
        <item x="191"/>
        <item x="165"/>
        <item x="96"/>
        <item x="1"/>
        <item x="175"/>
        <item x="90"/>
        <item x="168"/>
        <item x="184"/>
        <item x="81"/>
        <item x="57"/>
        <item x="147"/>
        <item x="0"/>
        <item x="208"/>
        <item x="189"/>
        <item x="71"/>
        <item x="53"/>
        <item x="140"/>
        <item x="70"/>
        <item x="176"/>
        <item x="42"/>
        <item x="40"/>
        <item x="194"/>
        <item x="131"/>
        <item x="180"/>
        <item x="28"/>
        <item x="78"/>
        <item x="156"/>
        <item x="16"/>
        <item x="128"/>
        <item x="99"/>
        <item x="72"/>
        <item x="188"/>
        <item x="30"/>
        <item x="47"/>
        <item x="11"/>
        <item x="166"/>
        <item x="85"/>
        <item x="109"/>
        <item x="34"/>
        <item x="9"/>
        <item x="192"/>
        <item x="183"/>
        <item x="152"/>
        <item x="43"/>
        <item x="38"/>
        <item x="73"/>
        <item x="4"/>
        <item x="97"/>
        <item x="199"/>
        <item x="108"/>
        <item x="142"/>
        <item x="137"/>
        <item x="121"/>
        <item x="162"/>
        <item x="55"/>
        <item x="3"/>
        <item x="80"/>
        <item x="77"/>
        <item x="10"/>
        <item x="60"/>
        <item x="203"/>
        <item x="51"/>
        <item x="172"/>
        <item x="204"/>
        <item x="117"/>
        <item x="82"/>
        <item x="115"/>
        <item x="170"/>
        <item x="86"/>
        <item x="79"/>
        <item x="144"/>
        <item x="35"/>
        <item x="61"/>
        <item x="105"/>
        <item x="151"/>
        <item x="19"/>
        <item x="67"/>
        <item x="75"/>
        <item x="5"/>
        <item x="63"/>
        <item x="23"/>
        <item x="83"/>
        <item x="112"/>
        <item x="100"/>
        <item x="111"/>
        <item x="27"/>
        <item x="106"/>
        <item x="148"/>
        <item x="94"/>
        <item x="186"/>
        <item x="133"/>
        <item x="98"/>
        <item x="146"/>
        <item x="149"/>
        <item x="119"/>
        <item x="195"/>
        <item x="143"/>
        <item x="91"/>
        <item x="181"/>
        <item x="101"/>
        <item x="123"/>
        <item x="145"/>
        <item x="153"/>
        <item x="45"/>
        <item x="167"/>
        <item x="102"/>
        <item x="179"/>
        <item x="12"/>
        <item x="173"/>
        <item x="182"/>
        <item x="68"/>
        <item x="178"/>
        <item x="21"/>
        <item x="113"/>
        <item x="157"/>
        <item x="114"/>
        <item x="174"/>
        <item x="7"/>
        <item x="160"/>
        <item x="104"/>
        <item x="141"/>
        <item x="120"/>
        <item x="31"/>
        <item x="64"/>
        <item x="58"/>
        <item x="41"/>
        <item x="74"/>
        <item x="193"/>
        <item x="93"/>
        <item x="59"/>
        <item x="158"/>
        <item x="46"/>
        <item x="22"/>
        <item x="132"/>
        <item x="25"/>
        <item x="8"/>
        <item x="169"/>
        <item x="49"/>
        <item x="48"/>
        <item x="52"/>
        <item x="32"/>
        <item x="136"/>
        <item x="190"/>
        <item x="210"/>
        <item x="185"/>
        <item x="50"/>
        <item x="39"/>
        <item x="17"/>
        <item x="20"/>
        <item x="198"/>
        <item x="116"/>
        <item x="159"/>
        <item x="54"/>
        <item x="62"/>
        <item x="135"/>
        <item x="202"/>
        <item x="66"/>
        <item x="164"/>
        <item x="6"/>
        <item x="206"/>
        <item x="139"/>
        <item x="171"/>
        <item x="177"/>
        <item x="127"/>
        <item x="138"/>
        <item x="24"/>
        <item x="14"/>
        <item x="89"/>
        <item x="161"/>
        <item x="107"/>
        <item x="129"/>
        <item x="110"/>
        <item x="125"/>
        <item x="197"/>
        <item x="126"/>
        <item x="196"/>
        <item x="103"/>
        <item x="29"/>
        <item x="44"/>
        <item x="134"/>
        <item x="205"/>
        <item x="88"/>
        <item x="26"/>
        <item x="69"/>
        <item x="13"/>
        <item x="207"/>
        <item x="15"/>
        <item x="76"/>
        <item x="163"/>
        <item x="56"/>
        <item x="95"/>
        <item x="18"/>
        <item x="154"/>
        <item x="87"/>
        <item x="124"/>
        <item t="default"/>
      </items>
    </pivotField>
    <pivotField axis="axisPage" showAll="0">
      <items count="212">
        <item x="21"/>
        <item x="155"/>
        <item x="209"/>
        <item x="65"/>
        <item x="36"/>
        <item x="150"/>
        <item x="118"/>
        <item x="2"/>
        <item x="92"/>
        <item x="200"/>
        <item x="187"/>
        <item x="130"/>
        <item x="37"/>
        <item x="33"/>
        <item x="122"/>
        <item x="201"/>
        <item x="191"/>
        <item x="140"/>
        <item x="1"/>
        <item x="90"/>
        <item x="168"/>
        <item x="53"/>
        <item x="84"/>
        <item x="184"/>
        <item x="57"/>
        <item x="96"/>
        <item x="175"/>
        <item x="81"/>
        <item x="147"/>
        <item x="0"/>
        <item x="165"/>
        <item x="189"/>
        <item x="71"/>
        <item x="176"/>
        <item x="40"/>
        <item x="194"/>
        <item x="99"/>
        <item x="180"/>
        <item x="28"/>
        <item x="78"/>
        <item x="47"/>
        <item x="42"/>
        <item x="72"/>
        <item x="188"/>
        <item x="16"/>
        <item x="128"/>
        <item x="70"/>
        <item x="30"/>
        <item x="11"/>
        <item x="131"/>
        <item x="166"/>
        <item x="85"/>
        <item x="109"/>
        <item x="34"/>
        <item x="9"/>
        <item x="192"/>
        <item x="183"/>
        <item x="152"/>
        <item x="43"/>
        <item x="38"/>
        <item x="4"/>
        <item x="97"/>
        <item x="199"/>
        <item x="6"/>
        <item x="108"/>
        <item x="137"/>
        <item x="162"/>
        <item x="55"/>
        <item x="3"/>
        <item x="121"/>
        <item x="80"/>
        <item x="125"/>
        <item x="77"/>
        <item x="10"/>
        <item x="60"/>
        <item x="203"/>
        <item x="115"/>
        <item x="51"/>
        <item x="172"/>
        <item x="117"/>
        <item x="82"/>
        <item x="204"/>
        <item x="170"/>
        <item x="86"/>
        <item x="144"/>
        <item x="79"/>
        <item x="35"/>
        <item x="151"/>
        <item x="105"/>
        <item x="48"/>
        <item x="19"/>
        <item x="67"/>
        <item x="61"/>
        <item x="75"/>
        <item x="5"/>
        <item x="63"/>
        <item x="83"/>
        <item x="23"/>
        <item x="112"/>
        <item x="100"/>
        <item x="94"/>
        <item x="27"/>
        <item x="106"/>
        <item x="50"/>
        <item x="148"/>
        <item x="186"/>
        <item x="98"/>
        <item x="149"/>
        <item x="119"/>
        <item x="171"/>
        <item x="146"/>
        <item x="195"/>
        <item x="143"/>
        <item x="91"/>
        <item x="133"/>
        <item x="181"/>
        <item x="101"/>
        <item x="145"/>
        <item x="173"/>
        <item x="153"/>
        <item x="12"/>
        <item x="64"/>
        <item x="45"/>
        <item x="167"/>
        <item x="68"/>
        <item x="182"/>
        <item x="113"/>
        <item x="179"/>
        <item x="178"/>
        <item x="102"/>
        <item x="123"/>
        <item x="157"/>
        <item x="114"/>
        <item x="141"/>
        <item x="160"/>
        <item x="7"/>
        <item x="174"/>
        <item x="31"/>
        <item x="120"/>
        <item x="58"/>
        <item x="41"/>
        <item x="104"/>
        <item x="74"/>
        <item x="193"/>
        <item x="59"/>
        <item x="46"/>
        <item x="22"/>
        <item x="132"/>
        <item x="93"/>
        <item x="158"/>
        <item x="25"/>
        <item x="8"/>
        <item x="111"/>
        <item x="169"/>
        <item x="49"/>
        <item x="52"/>
        <item x="66"/>
        <item x="32"/>
        <item x="136"/>
        <item x="190"/>
        <item x="39"/>
        <item x="127"/>
        <item x="17"/>
        <item x="198"/>
        <item x="159"/>
        <item x="139"/>
        <item x="116"/>
        <item x="73"/>
        <item x="210"/>
        <item x="135"/>
        <item x="202"/>
        <item x="20"/>
        <item x="206"/>
        <item x="164"/>
        <item x="185"/>
        <item x="14"/>
        <item x="138"/>
        <item x="54"/>
        <item x="62"/>
        <item x="24"/>
        <item x="142"/>
        <item x="89"/>
        <item x="161"/>
        <item x="129"/>
        <item x="205"/>
        <item x="196"/>
        <item x="110"/>
        <item x="107"/>
        <item x="134"/>
        <item x="197"/>
        <item x="126"/>
        <item x="156"/>
        <item x="103"/>
        <item x="29"/>
        <item x="44"/>
        <item x="69"/>
        <item x="88"/>
        <item x="26"/>
        <item x="13"/>
        <item x="15"/>
        <item x="76"/>
        <item x="163"/>
        <item x="56"/>
        <item x="208"/>
        <item x="95"/>
        <item x="177"/>
        <item x="207"/>
        <item x="18"/>
        <item x="154"/>
        <item x="87"/>
        <item x="124"/>
        <item t="default"/>
      </items>
    </pivotField>
    <pivotField axis="axisCol" showAll="0">
      <items count="7">
        <item x="4"/>
        <item x="3"/>
        <item x="2"/>
        <item x="0"/>
        <item x="5"/>
        <item x="1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 t="grand">
      <x/>
    </i>
  </rowItems>
  <colFields count="2">
    <field x="2"/>
    <field x="-2"/>
  </colFields>
  <colItems count="28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  <i>
      <x v="3"/>
      <x/>
    </i>
    <i r="1" i="1">
      <x v="1"/>
    </i>
    <i r="1" i="2">
      <x v="2"/>
    </i>
    <i r="1" i="3">
      <x v="3"/>
    </i>
    <i>
      <x v="4"/>
      <x/>
    </i>
    <i r="1" i="1">
      <x v="1"/>
    </i>
    <i r="1" i="2">
      <x v="2"/>
    </i>
    <i r="1" i="3">
      <x v="3"/>
    </i>
    <i>
      <x v="5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pageFields count="1">
    <pageField fld="1" hier="-1"/>
  </pageFields>
  <dataFields count="4">
    <dataField name="Sum of points" fld="5" baseField="0" baseItem="0"/>
    <dataField name="Sum of previous_points" fld="6" baseField="0" baseItem="0"/>
    <dataField name="Sum of rank" fld="3" baseField="0" baseItem="0"/>
    <dataField name="Sum of previous_rank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73B09-F6BF-A649-AEED-CC9F399F127A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258:F470" firstHeaderRow="1" firstDataRow="1" firstDataCol="1"/>
  <pivotFields count="13">
    <pivotField axis="axisRow" showAll="0">
      <items count="212">
        <item x="155"/>
        <item x="65"/>
        <item x="36"/>
        <item x="187"/>
        <item x="150"/>
        <item x="118"/>
        <item x="209"/>
        <item x="130"/>
        <item x="2"/>
        <item x="92"/>
        <item x="200"/>
        <item x="37"/>
        <item x="33"/>
        <item x="122"/>
        <item x="201"/>
        <item x="84"/>
        <item x="191"/>
        <item x="165"/>
        <item x="96"/>
        <item x="1"/>
        <item x="175"/>
        <item x="90"/>
        <item x="168"/>
        <item x="184"/>
        <item x="81"/>
        <item x="57"/>
        <item x="147"/>
        <item x="0"/>
        <item x="208"/>
        <item x="189"/>
        <item x="71"/>
        <item x="53"/>
        <item x="140"/>
        <item x="70"/>
        <item x="176"/>
        <item x="42"/>
        <item x="40"/>
        <item x="194"/>
        <item x="131"/>
        <item x="180"/>
        <item x="28"/>
        <item x="78"/>
        <item x="156"/>
        <item x="16"/>
        <item x="128"/>
        <item x="99"/>
        <item x="72"/>
        <item x="188"/>
        <item x="30"/>
        <item x="47"/>
        <item x="11"/>
        <item x="166"/>
        <item x="85"/>
        <item x="109"/>
        <item x="34"/>
        <item x="9"/>
        <item x="192"/>
        <item x="183"/>
        <item x="152"/>
        <item x="43"/>
        <item x="38"/>
        <item x="73"/>
        <item x="4"/>
        <item x="97"/>
        <item x="199"/>
        <item x="108"/>
        <item x="142"/>
        <item x="137"/>
        <item x="121"/>
        <item x="162"/>
        <item x="55"/>
        <item x="3"/>
        <item x="80"/>
        <item x="77"/>
        <item x="10"/>
        <item x="60"/>
        <item x="203"/>
        <item x="51"/>
        <item x="172"/>
        <item x="204"/>
        <item x="117"/>
        <item x="82"/>
        <item x="115"/>
        <item x="170"/>
        <item x="86"/>
        <item x="79"/>
        <item x="144"/>
        <item x="35"/>
        <item x="61"/>
        <item x="105"/>
        <item x="151"/>
        <item x="19"/>
        <item x="67"/>
        <item x="75"/>
        <item x="5"/>
        <item x="63"/>
        <item x="23"/>
        <item x="83"/>
        <item x="112"/>
        <item x="100"/>
        <item x="111"/>
        <item x="27"/>
        <item x="106"/>
        <item x="148"/>
        <item x="94"/>
        <item x="186"/>
        <item x="133"/>
        <item x="98"/>
        <item x="146"/>
        <item x="149"/>
        <item x="119"/>
        <item x="195"/>
        <item x="143"/>
        <item x="91"/>
        <item x="181"/>
        <item x="101"/>
        <item x="123"/>
        <item x="145"/>
        <item x="153"/>
        <item x="45"/>
        <item x="167"/>
        <item x="102"/>
        <item x="179"/>
        <item x="12"/>
        <item x="173"/>
        <item x="182"/>
        <item x="68"/>
        <item x="178"/>
        <item x="21"/>
        <item x="113"/>
        <item x="157"/>
        <item x="114"/>
        <item x="174"/>
        <item x="7"/>
        <item x="160"/>
        <item x="104"/>
        <item x="141"/>
        <item x="120"/>
        <item x="31"/>
        <item x="64"/>
        <item x="58"/>
        <item x="41"/>
        <item x="74"/>
        <item x="193"/>
        <item x="93"/>
        <item x="59"/>
        <item x="158"/>
        <item x="46"/>
        <item x="22"/>
        <item x="132"/>
        <item x="25"/>
        <item x="8"/>
        <item x="169"/>
        <item x="49"/>
        <item x="48"/>
        <item x="52"/>
        <item x="32"/>
        <item x="136"/>
        <item x="190"/>
        <item x="210"/>
        <item x="185"/>
        <item x="50"/>
        <item x="39"/>
        <item x="17"/>
        <item x="20"/>
        <item x="198"/>
        <item x="116"/>
        <item x="159"/>
        <item x="54"/>
        <item x="62"/>
        <item x="135"/>
        <item x="202"/>
        <item x="66"/>
        <item x="164"/>
        <item x="6"/>
        <item x="206"/>
        <item x="139"/>
        <item x="171"/>
        <item x="177"/>
        <item x="127"/>
        <item x="138"/>
        <item x="24"/>
        <item x="14"/>
        <item x="89"/>
        <item x="161"/>
        <item x="107"/>
        <item x="129"/>
        <item x="110"/>
        <item x="125"/>
        <item x="197"/>
        <item x="126"/>
        <item x="196"/>
        <item x="103"/>
        <item x="29"/>
        <item x="44"/>
        <item x="134"/>
        <item x="205"/>
        <item x="88"/>
        <item x="26"/>
        <item x="69"/>
        <item x="13"/>
        <item x="207"/>
        <item x="15"/>
        <item x="76"/>
        <item x="163"/>
        <item x="56"/>
        <item x="95"/>
        <item x="18"/>
        <item x="154"/>
        <item x="87"/>
        <item x="124"/>
        <item t="default"/>
      </items>
    </pivotField>
    <pivotField showAll="0"/>
    <pivotField showAll="0">
      <items count="7">
        <item x="4"/>
        <item x="3"/>
        <item x="2"/>
        <item x="0"/>
        <item x="5"/>
        <item x="1"/>
        <item t="default"/>
      </items>
    </pivotField>
    <pivotField showAll="0"/>
    <pivotField showAll="0"/>
    <pivotField dataField="1" showAll="0">
      <items count="212"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 t="grand">
      <x/>
    </i>
  </rowItems>
  <colItems count="1">
    <i/>
  </colItems>
  <dataFields count="1">
    <dataField name="Sum of points" fld="5" baseField="0" baseItem="0"/>
  </dataFields>
  <chartFormats count="422">
    <chartFormat chart="1" format="2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2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2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2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2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2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2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2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2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2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" format="2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2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" format="2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" format="2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" format="2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" format="2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" format="2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" format="2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" format="2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" format="2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" format="2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" format="2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" format="2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" format="2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" format="2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1" format="2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1" format="2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1" format="2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1" format="2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1" format="2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1" format="2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1" format="2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1" format="2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1" format="2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1" format="2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1" format="2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1" format="2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1" format="2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1" format="2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1" format="2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1" format="2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1" format="2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1" format="2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1" format="2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1" format="2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1" format="2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1" format="2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1" format="2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1" format="2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1" format="2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1" format="2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1" format="2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1" format="2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1" format="2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1" format="2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1" format="2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1" format="2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1" format="2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1" format="2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1" format="2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1" format="2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1" format="2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1" format="2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1" format="2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1" format="2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1" format="2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1" format="2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1" format="2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1" format="2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1" format="2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1" format="2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1" format="2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1" format="2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1" format="2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1" format="2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1" format="2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1" format="2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1" format="2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1" format="2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1" format="2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1" format="2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1" format="2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1" format="2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1" format="2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1" format="2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1" format="2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1" format="2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1" format="3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1" format="3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1" format="3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1" format="3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1" format="3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1" format="3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1" format="3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1" format="3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1" format="3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1" format="3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1" format="3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1" format="3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1" format="3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1"/>
          </reference>
        </references>
      </pivotArea>
    </chartFormat>
    <chartFormat chart="1" format="3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1" format="3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3"/>
          </reference>
        </references>
      </pivotArea>
    </chartFormat>
    <chartFormat chart="1" format="3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"/>
          </reference>
        </references>
      </pivotArea>
    </chartFormat>
    <chartFormat chart="1" format="3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1" format="3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6"/>
          </reference>
        </references>
      </pivotArea>
    </chartFormat>
    <chartFormat chart="1" format="3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1" format="3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1" format="3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9"/>
          </reference>
        </references>
      </pivotArea>
    </chartFormat>
    <chartFormat chart="1" format="3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1" format="3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1" format="3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"/>
          </reference>
        </references>
      </pivotArea>
    </chartFormat>
    <chartFormat chart="1" format="3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1" format="3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4"/>
          </reference>
        </references>
      </pivotArea>
    </chartFormat>
    <chartFormat chart="1" format="3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5"/>
          </reference>
        </references>
      </pivotArea>
    </chartFormat>
    <chartFormat chart="1" format="3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6"/>
          </reference>
        </references>
      </pivotArea>
    </chartFormat>
    <chartFormat chart="1" format="3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7"/>
          </reference>
        </references>
      </pivotArea>
    </chartFormat>
    <chartFormat chart="1" format="3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8"/>
          </reference>
        </references>
      </pivotArea>
    </chartFormat>
    <chartFormat chart="1" format="3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9"/>
          </reference>
        </references>
      </pivotArea>
    </chartFormat>
    <chartFormat chart="1" format="3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0"/>
          </reference>
        </references>
      </pivotArea>
    </chartFormat>
    <chartFormat chart="1" format="3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1"/>
          </reference>
        </references>
      </pivotArea>
    </chartFormat>
    <chartFormat chart="1" format="3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2"/>
          </reference>
        </references>
      </pivotArea>
    </chartFormat>
    <chartFormat chart="1" format="3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3"/>
          </reference>
        </references>
      </pivotArea>
    </chartFormat>
    <chartFormat chart="1" format="3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4"/>
          </reference>
        </references>
      </pivotArea>
    </chartFormat>
    <chartFormat chart="1" format="3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5"/>
          </reference>
        </references>
      </pivotArea>
    </chartFormat>
    <chartFormat chart="1" format="3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1" format="3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1" format="3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8"/>
          </reference>
        </references>
      </pivotArea>
    </chartFormat>
    <chartFormat chart="1" format="3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9"/>
          </reference>
        </references>
      </pivotArea>
    </chartFormat>
    <chartFormat chart="1" format="3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0"/>
          </reference>
        </references>
      </pivotArea>
    </chartFormat>
    <chartFormat chart="1" format="3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1"/>
          </reference>
        </references>
      </pivotArea>
    </chartFormat>
    <chartFormat chart="1" format="3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2"/>
          </reference>
        </references>
      </pivotArea>
    </chartFormat>
    <chartFormat chart="1" format="3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1" format="3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4"/>
          </reference>
        </references>
      </pivotArea>
    </chartFormat>
    <chartFormat chart="1" format="3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5"/>
          </reference>
        </references>
      </pivotArea>
    </chartFormat>
    <chartFormat chart="1" format="3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6"/>
          </reference>
        </references>
      </pivotArea>
    </chartFormat>
    <chartFormat chart="1" format="3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7"/>
          </reference>
        </references>
      </pivotArea>
    </chartFormat>
    <chartFormat chart="1" format="3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8"/>
          </reference>
        </references>
      </pivotArea>
    </chartFormat>
    <chartFormat chart="1" format="3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9"/>
          </reference>
        </references>
      </pivotArea>
    </chartFormat>
    <chartFormat chart="1" format="3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0"/>
          </reference>
        </references>
      </pivotArea>
    </chartFormat>
    <chartFormat chart="1" format="3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1"/>
          </reference>
        </references>
      </pivotArea>
    </chartFormat>
    <chartFormat chart="1" format="3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2"/>
          </reference>
        </references>
      </pivotArea>
    </chartFormat>
    <chartFormat chart="1" format="3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3"/>
          </reference>
        </references>
      </pivotArea>
    </chartFormat>
    <chartFormat chart="1" format="3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4"/>
          </reference>
        </references>
      </pivotArea>
    </chartFormat>
    <chartFormat chart="1" format="3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5"/>
          </reference>
        </references>
      </pivotArea>
    </chartFormat>
    <chartFormat chart="1" format="3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6"/>
          </reference>
        </references>
      </pivotArea>
    </chartFormat>
    <chartFormat chart="1" format="3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7"/>
          </reference>
        </references>
      </pivotArea>
    </chartFormat>
    <chartFormat chart="1" format="3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8"/>
          </reference>
        </references>
      </pivotArea>
    </chartFormat>
    <chartFormat chart="1" format="3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9"/>
          </reference>
        </references>
      </pivotArea>
    </chartFormat>
    <chartFormat chart="1" format="3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"/>
          </reference>
        </references>
      </pivotArea>
    </chartFormat>
    <chartFormat chart="1" format="3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1"/>
          </reference>
        </references>
      </pivotArea>
    </chartFormat>
    <chartFormat chart="1" format="3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1" format="3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3"/>
          </reference>
        </references>
      </pivotArea>
    </chartFormat>
    <chartFormat chart="1" format="3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4"/>
          </reference>
        </references>
      </pivotArea>
    </chartFormat>
    <chartFormat chart="1" format="3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5"/>
          </reference>
        </references>
      </pivotArea>
    </chartFormat>
    <chartFormat chart="1" format="3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6"/>
          </reference>
        </references>
      </pivotArea>
    </chartFormat>
    <chartFormat chart="1" format="3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7"/>
          </reference>
        </references>
      </pivotArea>
    </chartFormat>
    <chartFormat chart="1" format="3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8"/>
          </reference>
        </references>
      </pivotArea>
    </chartFormat>
    <chartFormat chart="1" format="3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1" format="3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"/>
          </reference>
        </references>
      </pivotArea>
    </chartFormat>
    <chartFormat chart="1" format="3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1" format="3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2"/>
          </reference>
        </references>
      </pivotArea>
    </chartFormat>
    <chartFormat chart="1" format="3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3"/>
          </reference>
        </references>
      </pivotArea>
    </chartFormat>
    <chartFormat chart="1" format="3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1" format="3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1" format="3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6"/>
          </reference>
        </references>
      </pivotArea>
    </chartFormat>
    <chartFormat chart="1" format="3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7"/>
          </reference>
        </references>
      </pivotArea>
    </chartFormat>
    <chartFormat chart="1" format="3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8"/>
          </reference>
        </references>
      </pivotArea>
    </chartFormat>
    <chartFormat chart="1" format="3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9"/>
          </reference>
        </references>
      </pivotArea>
    </chartFormat>
    <chartFormat chart="1" format="3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0"/>
          </reference>
        </references>
      </pivotArea>
    </chartFormat>
    <chartFormat chart="1" format="3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1"/>
          </reference>
        </references>
      </pivotArea>
    </chartFormat>
    <chartFormat chart="1" format="3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2"/>
          </reference>
        </references>
      </pivotArea>
    </chartFormat>
    <chartFormat chart="1" format="3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  <chartFormat chart="1" format="3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4"/>
          </reference>
        </references>
      </pivotArea>
    </chartFormat>
    <chartFormat chart="1" format="3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5"/>
          </reference>
        </references>
      </pivotArea>
    </chartFormat>
    <chartFormat chart="1" format="3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6"/>
          </reference>
        </references>
      </pivotArea>
    </chartFormat>
    <chartFormat chart="1" format="3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7"/>
          </reference>
        </references>
      </pivotArea>
    </chartFormat>
    <chartFormat chart="1" format="3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8"/>
          </reference>
        </references>
      </pivotArea>
    </chartFormat>
    <chartFormat chart="1" format="3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9"/>
          </reference>
        </references>
      </pivotArea>
    </chartFormat>
    <chartFormat chart="1" format="3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0"/>
          </reference>
        </references>
      </pivotArea>
    </chartFormat>
    <chartFormat chart="1" format="3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1"/>
          </reference>
        </references>
      </pivotArea>
    </chartFormat>
    <chartFormat chart="1" format="3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  <chartFormat chart="1" format="3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3"/>
          </reference>
        </references>
      </pivotArea>
    </chartFormat>
    <chartFormat chart="1" format="3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4"/>
          </reference>
        </references>
      </pivotArea>
    </chartFormat>
    <chartFormat chart="1" format="3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5"/>
          </reference>
        </references>
      </pivotArea>
    </chartFormat>
    <chartFormat chart="1" format="3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6"/>
          </reference>
        </references>
      </pivotArea>
    </chartFormat>
    <chartFormat chart="1" format="3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7"/>
          </reference>
        </references>
      </pivotArea>
    </chartFormat>
    <chartFormat chart="1" format="3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8"/>
          </reference>
        </references>
      </pivotArea>
    </chartFormat>
    <chartFormat chart="1" format="4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9"/>
          </reference>
        </references>
      </pivotArea>
    </chartFormat>
    <chartFormat chart="1" format="4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0"/>
          </reference>
        </references>
      </pivotArea>
    </chartFormat>
    <chartFormat chart="1" format="4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1"/>
          </reference>
        </references>
      </pivotArea>
    </chartFormat>
    <chartFormat chart="1" format="4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2"/>
          </reference>
        </references>
      </pivotArea>
    </chartFormat>
    <chartFormat chart="1" format="4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3"/>
          </reference>
        </references>
      </pivotArea>
    </chartFormat>
    <chartFormat chart="1" format="4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4"/>
          </reference>
        </references>
      </pivotArea>
    </chartFormat>
    <chartFormat chart="1" format="4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5"/>
          </reference>
        </references>
      </pivotArea>
    </chartFormat>
    <chartFormat chart="1" format="4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  <chartFormat chart="1" format="4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7"/>
          </reference>
        </references>
      </pivotArea>
    </chartFormat>
    <chartFormat chart="1" format="4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8"/>
          </reference>
        </references>
      </pivotArea>
    </chartFormat>
    <chartFormat chart="1" format="4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9"/>
          </reference>
        </references>
      </pivotArea>
    </chartFormat>
    <chartFormat chart="1" format="4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0"/>
          </reference>
        </references>
      </pivotArea>
    </chartFormat>
    <chartFormat chart="1" format="4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1"/>
          </reference>
        </references>
      </pivotArea>
    </chartFormat>
    <chartFormat chart="1" format="4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2"/>
          </reference>
        </references>
      </pivotArea>
    </chartFormat>
    <chartFormat chart="1" format="4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3"/>
          </reference>
        </references>
      </pivotArea>
    </chartFormat>
    <chartFormat chart="1" format="4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4"/>
          </reference>
        </references>
      </pivotArea>
    </chartFormat>
    <chartFormat chart="1" format="4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5"/>
          </reference>
        </references>
      </pivotArea>
    </chartFormat>
    <chartFormat chart="1" format="4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6"/>
          </reference>
        </references>
      </pivotArea>
    </chartFormat>
    <chartFormat chart="1" format="4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7"/>
          </reference>
        </references>
      </pivotArea>
    </chartFormat>
    <chartFormat chart="1" format="4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8"/>
          </reference>
        </references>
      </pivotArea>
    </chartFormat>
    <chartFormat chart="1" format="4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9"/>
          </reference>
        </references>
      </pivotArea>
    </chartFormat>
    <chartFormat chart="1" format="4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0"/>
          </reference>
        </references>
      </pivotArea>
    </chartFormat>
    <chartFormat chart="0" format="2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2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2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2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2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2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2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2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2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2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2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2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2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2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2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2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2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2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0" format="2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0" format="2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0" format="2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0" format="2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0" format="2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0" format="2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0" format="2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0" format="2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0" format="2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0" format="2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0" format="2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0" format="2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0" format="2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0" format="2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0" format="2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0" format="2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0" format="2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0" format="2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0" format="2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0" format="2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0" format="2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0" format="2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0" format="2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0" format="2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0" format="2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0" format="2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0" format="2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0" format="2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0" format="2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0" format="2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0" format="2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0" format="2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0" format="2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0" format="2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0" format="2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0" format="2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0" format="2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0" format="2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0" format="2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0" format="2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0" format="2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0" format="2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0" format="2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0" format="2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0" format="2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0" format="2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0" format="2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0" format="2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0" format="2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0" format="2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0" format="2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0" format="2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0" format="2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0" format="2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0" format="2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0" format="2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0" format="2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0" format="2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0" format="2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0" format="2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0" format="2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0" format="2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0" format="2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0" format="2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0" format="3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0" format="3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0" format="3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0" format="3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0" format="3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0" format="3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0" format="3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0" format="3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0" format="3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0" format="3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0" format="3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0" format="3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0" format="3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1"/>
          </reference>
        </references>
      </pivotArea>
    </chartFormat>
    <chartFormat chart="0" format="3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0" format="3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3"/>
          </reference>
        </references>
      </pivotArea>
    </chartFormat>
    <chartFormat chart="0" format="3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"/>
          </reference>
        </references>
      </pivotArea>
    </chartFormat>
    <chartFormat chart="0" format="3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0" format="3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6"/>
          </reference>
        </references>
      </pivotArea>
    </chartFormat>
    <chartFormat chart="0" format="3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0" format="3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0" format="3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9"/>
          </reference>
        </references>
      </pivotArea>
    </chartFormat>
    <chartFormat chart="0" format="3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0" format="3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0" format="3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"/>
          </reference>
        </references>
      </pivotArea>
    </chartFormat>
    <chartFormat chart="0" format="3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0" format="3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4"/>
          </reference>
        </references>
      </pivotArea>
    </chartFormat>
    <chartFormat chart="0" format="3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5"/>
          </reference>
        </references>
      </pivotArea>
    </chartFormat>
    <chartFormat chart="0" format="3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6"/>
          </reference>
        </references>
      </pivotArea>
    </chartFormat>
    <chartFormat chart="0" format="3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7"/>
          </reference>
        </references>
      </pivotArea>
    </chartFormat>
    <chartFormat chart="0" format="3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8"/>
          </reference>
        </references>
      </pivotArea>
    </chartFormat>
    <chartFormat chart="0" format="3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9"/>
          </reference>
        </references>
      </pivotArea>
    </chartFormat>
    <chartFormat chart="0" format="3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0"/>
          </reference>
        </references>
      </pivotArea>
    </chartFormat>
    <chartFormat chart="0" format="3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1"/>
          </reference>
        </references>
      </pivotArea>
    </chartFormat>
    <chartFormat chart="0" format="3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2"/>
          </reference>
        </references>
      </pivotArea>
    </chartFormat>
    <chartFormat chart="0" format="3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3"/>
          </reference>
        </references>
      </pivotArea>
    </chartFormat>
    <chartFormat chart="0" format="3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4"/>
          </reference>
        </references>
      </pivotArea>
    </chartFormat>
    <chartFormat chart="0" format="3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5"/>
          </reference>
        </references>
      </pivotArea>
    </chartFormat>
    <chartFormat chart="0" format="3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0" format="3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0" format="3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8"/>
          </reference>
        </references>
      </pivotArea>
    </chartFormat>
    <chartFormat chart="0" format="3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9"/>
          </reference>
        </references>
      </pivotArea>
    </chartFormat>
    <chartFormat chart="0" format="3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0"/>
          </reference>
        </references>
      </pivotArea>
    </chartFormat>
    <chartFormat chart="0" format="3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1"/>
          </reference>
        </references>
      </pivotArea>
    </chartFormat>
    <chartFormat chart="0" format="3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2"/>
          </reference>
        </references>
      </pivotArea>
    </chartFormat>
    <chartFormat chart="0" format="3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0" format="3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4"/>
          </reference>
        </references>
      </pivotArea>
    </chartFormat>
    <chartFormat chart="0" format="3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5"/>
          </reference>
        </references>
      </pivotArea>
    </chartFormat>
    <chartFormat chart="0" format="3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6"/>
          </reference>
        </references>
      </pivotArea>
    </chartFormat>
    <chartFormat chart="0" format="3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7"/>
          </reference>
        </references>
      </pivotArea>
    </chartFormat>
    <chartFormat chart="0" format="3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8"/>
          </reference>
        </references>
      </pivotArea>
    </chartFormat>
    <chartFormat chart="0" format="3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9"/>
          </reference>
        </references>
      </pivotArea>
    </chartFormat>
    <chartFormat chart="0" format="3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0"/>
          </reference>
        </references>
      </pivotArea>
    </chartFormat>
    <chartFormat chart="0" format="3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1"/>
          </reference>
        </references>
      </pivotArea>
    </chartFormat>
    <chartFormat chart="0" format="3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2"/>
          </reference>
        </references>
      </pivotArea>
    </chartFormat>
    <chartFormat chart="0" format="3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3"/>
          </reference>
        </references>
      </pivotArea>
    </chartFormat>
    <chartFormat chart="0" format="3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4"/>
          </reference>
        </references>
      </pivotArea>
    </chartFormat>
    <chartFormat chart="0" format="3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5"/>
          </reference>
        </references>
      </pivotArea>
    </chartFormat>
    <chartFormat chart="0" format="3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6"/>
          </reference>
        </references>
      </pivotArea>
    </chartFormat>
    <chartFormat chart="0" format="3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7"/>
          </reference>
        </references>
      </pivotArea>
    </chartFormat>
    <chartFormat chart="0" format="3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8"/>
          </reference>
        </references>
      </pivotArea>
    </chartFormat>
    <chartFormat chart="0" format="3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9"/>
          </reference>
        </references>
      </pivotArea>
    </chartFormat>
    <chartFormat chart="0" format="3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"/>
          </reference>
        </references>
      </pivotArea>
    </chartFormat>
    <chartFormat chart="0" format="3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1"/>
          </reference>
        </references>
      </pivotArea>
    </chartFormat>
    <chartFormat chart="0" format="3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0" format="3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3"/>
          </reference>
        </references>
      </pivotArea>
    </chartFormat>
    <chartFormat chart="0" format="3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4"/>
          </reference>
        </references>
      </pivotArea>
    </chartFormat>
    <chartFormat chart="0" format="3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5"/>
          </reference>
        </references>
      </pivotArea>
    </chartFormat>
    <chartFormat chart="0" format="3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6"/>
          </reference>
        </references>
      </pivotArea>
    </chartFormat>
    <chartFormat chart="0" format="3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7"/>
          </reference>
        </references>
      </pivotArea>
    </chartFormat>
    <chartFormat chart="0" format="3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8"/>
          </reference>
        </references>
      </pivotArea>
    </chartFormat>
    <chartFormat chart="0" format="3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0" format="3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"/>
          </reference>
        </references>
      </pivotArea>
    </chartFormat>
    <chartFormat chart="0" format="3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0" format="3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2"/>
          </reference>
        </references>
      </pivotArea>
    </chartFormat>
    <chartFormat chart="0" format="3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3"/>
          </reference>
        </references>
      </pivotArea>
    </chartFormat>
    <chartFormat chart="0" format="3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0" format="3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0" format="3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6"/>
          </reference>
        </references>
      </pivotArea>
    </chartFormat>
    <chartFormat chart="0" format="3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7"/>
          </reference>
        </references>
      </pivotArea>
    </chartFormat>
    <chartFormat chart="0" format="3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8"/>
          </reference>
        </references>
      </pivotArea>
    </chartFormat>
    <chartFormat chart="0" format="3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9"/>
          </reference>
        </references>
      </pivotArea>
    </chartFormat>
    <chartFormat chart="0" format="3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0"/>
          </reference>
        </references>
      </pivotArea>
    </chartFormat>
    <chartFormat chart="0" format="3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1"/>
          </reference>
        </references>
      </pivotArea>
    </chartFormat>
    <chartFormat chart="0" format="3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2"/>
          </reference>
        </references>
      </pivotArea>
    </chartFormat>
    <chartFormat chart="0" format="3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  <chartFormat chart="0" format="3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4"/>
          </reference>
        </references>
      </pivotArea>
    </chartFormat>
    <chartFormat chart="0" format="3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5"/>
          </reference>
        </references>
      </pivotArea>
    </chartFormat>
    <chartFormat chart="0" format="3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6"/>
          </reference>
        </references>
      </pivotArea>
    </chartFormat>
    <chartFormat chart="0" format="3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7"/>
          </reference>
        </references>
      </pivotArea>
    </chartFormat>
    <chartFormat chart="0" format="3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8"/>
          </reference>
        </references>
      </pivotArea>
    </chartFormat>
    <chartFormat chart="0" format="3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9"/>
          </reference>
        </references>
      </pivotArea>
    </chartFormat>
    <chartFormat chart="0" format="3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0"/>
          </reference>
        </references>
      </pivotArea>
    </chartFormat>
    <chartFormat chart="0" format="3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1"/>
          </reference>
        </references>
      </pivotArea>
    </chartFormat>
    <chartFormat chart="0" format="3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2"/>
          </reference>
        </references>
      </pivotArea>
    </chartFormat>
    <chartFormat chart="0" format="3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3"/>
          </reference>
        </references>
      </pivotArea>
    </chartFormat>
    <chartFormat chart="0" format="3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4"/>
          </reference>
        </references>
      </pivotArea>
    </chartFormat>
    <chartFormat chart="0" format="3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5"/>
          </reference>
        </references>
      </pivotArea>
    </chartFormat>
    <chartFormat chart="0" format="3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6"/>
          </reference>
        </references>
      </pivotArea>
    </chartFormat>
    <chartFormat chart="0" format="3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7"/>
          </reference>
        </references>
      </pivotArea>
    </chartFormat>
    <chartFormat chart="0" format="3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8"/>
          </reference>
        </references>
      </pivotArea>
    </chartFormat>
    <chartFormat chart="0" format="4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9"/>
          </reference>
        </references>
      </pivotArea>
    </chartFormat>
    <chartFormat chart="0" format="4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0"/>
          </reference>
        </references>
      </pivotArea>
    </chartFormat>
    <chartFormat chart="0" format="4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1"/>
          </reference>
        </references>
      </pivotArea>
    </chartFormat>
    <chartFormat chart="0" format="4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2"/>
          </reference>
        </references>
      </pivotArea>
    </chartFormat>
    <chartFormat chart="0" format="4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3"/>
          </reference>
        </references>
      </pivotArea>
    </chartFormat>
    <chartFormat chart="0" format="4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4"/>
          </reference>
        </references>
      </pivotArea>
    </chartFormat>
    <chartFormat chart="0" format="4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5"/>
          </reference>
        </references>
      </pivotArea>
    </chartFormat>
    <chartFormat chart="0" format="4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6"/>
          </reference>
        </references>
      </pivotArea>
    </chartFormat>
    <chartFormat chart="0" format="4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7"/>
          </reference>
        </references>
      </pivotArea>
    </chartFormat>
    <chartFormat chart="0" format="4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8"/>
          </reference>
        </references>
      </pivotArea>
    </chartFormat>
    <chartFormat chart="0" format="4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9"/>
          </reference>
        </references>
      </pivotArea>
    </chartFormat>
    <chartFormat chart="0" format="4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0"/>
          </reference>
        </references>
      </pivotArea>
    </chartFormat>
    <chartFormat chart="0" format="4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1"/>
          </reference>
        </references>
      </pivotArea>
    </chartFormat>
    <chartFormat chart="0" format="4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2"/>
          </reference>
        </references>
      </pivotArea>
    </chartFormat>
    <chartFormat chart="0" format="4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3"/>
          </reference>
        </references>
      </pivotArea>
    </chartFormat>
    <chartFormat chart="0" format="4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4"/>
          </reference>
        </references>
      </pivotArea>
    </chartFormat>
    <chartFormat chart="0" format="4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5"/>
          </reference>
        </references>
      </pivotArea>
    </chartFormat>
    <chartFormat chart="0" format="4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6"/>
          </reference>
        </references>
      </pivotArea>
    </chartFormat>
    <chartFormat chart="0" format="4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7"/>
          </reference>
        </references>
      </pivotArea>
    </chartFormat>
    <chartFormat chart="0" format="4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8"/>
          </reference>
        </references>
      </pivotArea>
    </chartFormat>
    <chartFormat chart="0" format="4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9"/>
          </reference>
        </references>
      </pivotArea>
    </chartFormat>
    <chartFormat chart="0" format="4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F75889-01F1-0840-9FD5-718D4861B3F5}" autoFormatId="16" applyNumberFormats="0" applyBorderFormats="0" applyFontFormats="0" applyPatternFormats="0" applyAlignmentFormats="0" applyWidthHeightFormats="0">
  <queryTableRefresh nextId="14" unboundColumnsRight="6">
    <queryTableFields count="13">
      <queryTableField id="1" name="team" tableColumnId="1"/>
      <queryTableField id="2" name="team_code" tableColumnId="2"/>
      <queryTableField id="3" name="association" tableColumnId="3"/>
      <queryTableField id="4" name="rank" tableColumnId="4"/>
      <queryTableField id="5" name="previous_rank" tableColumnId="5"/>
      <queryTableField id="6" name="points" tableColumnId="6"/>
      <queryTableField id="7" name="previous_points" tableColumnId="7"/>
      <queryTableField id="8" dataBound="0" tableColumnId="9"/>
      <queryTableField id="9" dataBound="0" tableColumnId="10"/>
      <queryTableField id="10" dataBound="0" tableColumnId="11"/>
      <queryTableField id="11" dataBound="0" tableColumnId="12"/>
      <queryTableField id="12" dataBound="0" tableColumnId="13"/>
      <queryTableField id="13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DC3755-F38B-B748-9F19-972934554C6C}" name="fifa_ranking_2022_10_06" displayName="fifa_ranking_2022_10_06" ref="A1:M212" tableType="queryTable" totalsRowShown="0">
  <autoFilter ref="A1:M212" xr:uid="{99DC3755-F38B-B748-9F19-972934554C6C}"/>
  <sortState xmlns:xlrd2="http://schemas.microsoft.com/office/spreadsheetml/2017/richdata2" ref="A2:M212">
    <sortCondition ref="M3:M212"/>
  </sortState>
  <tableColumns count="13">
    <tableColumn id="1" xr3:uid="{B99BC2A3-4497-0A43-83C3-CD5D0A873D28}" uniqueName="1" name="team" queryTableFieldId="1" dataDxfId="8"/>
    <tableColumn id="2" xr3:uid="{DBD142CA-55EB-5F40-A82F-7E13D46A9E43}" uniqueName="2" name="team_code" queryTableFieldId="2" dataDxfId="7"/>
    <tableColumn id="3" xr3:uid="{F8E7C093-E67D-9649-91C1-6F9F85FD8766}" uniqueName="3" name="association" queryTableFieldId="3" dataDxfId="6"/>
    <tableColumn id="4" xr3:uid="{D3956876-4AD3-7849-B061-668807FDF05F}" uniqueName="4" name="rank" queryTableFieldId="4"/>
    <tableColumn id="5" xr3:uid="{97818B07-8BB5-334C-A363-5F0219870CF2}" uniqueName="5" name="previous_rank" queryTableFieldId="5"/>
    <tableColumn id="6" xr3:uid="{2CCF73C0-CF13-3F4D-A106-7D10CDA8FB76}" uniqueName="6" name="points" queryTableFieldId="6"/>
    <tableColumn id="7" xr3:uid="{F01ABE15-D793-8E42-87DE-5090038C44F6}" uniqueName="7" name="previous_points" queryTableFieldId="7"/>
    <tableColumn id="9" xr3:uid="{C3121F2B-982F-D044-BB34-6E9EDDFFF7C1}" uniqueName="9" name="Column1" queryTableFieldId="8" dataDxfId="5">
      <calculatedColumnFormula>E2 - D2</calculatedColumnFormula>
    </tableColumn>
    <tableColumn id="10" xr3:uid="{E1FF7B70-ECAA-1546-8178-AE4045566C2A}" uniqueName="10" name="Column2" queryTableFieldId="9" dataDxfId="4">
      <calculatedColumnFormula>F2 - G2</calculatedColumnFormula>
    </tableColumn>
    <tableColumn id="11" xr3:uid="{D4B8F487-1A4F-FF43-8AEC-5C01B017F56D}" uniqueName="11" name="Column3" queryTableFieldId="10" dataDxfId="3">
      <calculatedColumnFormula>TRIM(C2)</calculatedColumnFormula>
    </tableColumn>
    <tableColumn id="12" xr3:uid="{24279ED8-B028-2741-BE0C-1AD059A1983C}" uniqueName="12" name="Column4" queryTableFieldId="11" dataDxfId="2">
      <calculatedColumnFormula>SUMIF(C:C, "UEFA", F:F)</calculatedColumnFormula>
    </tableColumn>
    <tableColumn id="13" xr3:uid="{E53B8F2D-BC9B-0644-AF84-D289F4E0D1FB}" uniqueName="13" name="Column5" queryTableFieldId="12" dataDxfId="1">
      <calculatedColumnFormula>COUNTIF(C:C, "CAF")</calculatedColumnFormula>
    </tableColumn>
    <tableColumn id="14" xr3:uid="{6568FCF5-8BA8-5C4A-93E7-68483434576B}" uniqueName="14" name="Column6" queryTableFieldId="13" dataDxfId="0">
      <calculatedColumnFormula>SUMIFS(F:F, C:C, "UEFA", D:D, "&lt;=20")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907C-5CB8-D24C-9483-8434653D0320}">
  <dimension ref="A1:C215"/>
  <sheetViews>
    <sheetView workbookViewId="0">
      <selection activeCell="A3" sqref="A3"/>
    </sheetView>
  </sheetViews>
  <sheetFormatPr baseColWidth="10" defaultRowHeight="16" x14ac:dyDescent="0.2"/>
  <cols>
    <col min="1" max="1" width="25.6640625" bestFit="1" customWidth="1"/>
    <col min="2" max="2" width="12.33203125" bestFit="1" customWidth="1"/>
    <col min="3" max="3" width="10.83203125" bestFit="1" customWidth="1"/>
    <col min="4" max="6" width="7.1640625" bestFit="1" customWidth="1"/>
    <col min="7" max="7" width="4.1640625" bestFit="1" customWidth="1"/>
    <col min="8" max="10" width="7.1640625" bestFit="1" customWidth="1"/>
    <col min="11" max="11" width="6.1640625" bestFit="1" customWidth="1"/>
    <col min="12" max="30" width="7.1640625" bestFit="1" customWidth="1"/>
    <col min="31" max="31" width="6.1640625" bestFit="1" customWidth="1"/>
    <col min="32" max="53" width="7.1640625" bestFit="1" customWidth="1"/>
    <col min="54" max="60" width="8.1640625" bestFit="1" customWidth="1"/>
    <col min="61" max="62" width="7.1640625" bestFit="1" customWidth="1"/>
    <col min="63" max="65" width="8.1640625" bestFit="1" customWidth="1"/>
    <col min="66" max="66" width="7.1640625" bestFit="1" customWidth="1"/>
    <col min="67" max="73" width="8.1640625" bestFit="1" customWidth="1"/>
    <col min="74" max="74" width="7.1640625" bestFit="1" customWidth="1"/>
    <col min="75" max="76" width="8.1640625" bestFit="1" customWidth="1"/>
    <col min="77" max="77" width="7.1640625" bestFit="1" customWidth="1"/>
    <col min="78" max="91" width="8.1640625" bestFit="1" customWidth="1"/>
    <col min="92" max="92" width="7.1640625" bestFit="1" customWidth="1"/>
    <col min="93" max="93" width="8.1640625" bestFit="1" customWidth="1"/>
    <col min="94" max="95" width="7.1640625" bestFit="1" customWidth="1"/>
    <col min="96" max="104" width="8.1640625" bestFit="1" customWidth="1"/>
    <col min="105" max="105" width="7.1640625" bestFit="1" customWidth="1"/>
    <col min="106" max="120" width="8.1640625" bestFit="1" customWidth="1"/>
    <col min="121" max="121" width="7.1640625" bestFit="1" customWidth="1"/>
    <col min="122" max="151" width="8.1640625" bestFit="1" customWidth="1"/>
    <col min="152" max="152" width="5.1640625" bestFit="1" customWidth="1"/>
    <col min="153" max="156" width="8.1640625" bestFit="1" customWidth="1"/>
    <col min="157" max="157" width="7.1640625" bestFit="1" customWidth="1"/>
    <col min="158" max="160" width="8.1640625" bestFit="1" customWidth="1"/>
    <col min="161" max="161" width="7.1640625" bestFit="1" customWidth="1"/>
    <col min="162" max="171" width="8.1640625" bestFit="1" customWidth="1"/>
    <col min="172" max="172" width="5.1640625" bestFit="1" customWidth="1"/>
    <col min="173" max="175" width="8.1640625" bestFit="1" customWidth="1"/>
    <col min="176" max="177" width="7.1640625" bestFit="1" customWidth="1"/>
    <col min="178" max="184" width="8.1640625" bestFit="1" customWidth="1"/>
    <col min="185" max="185" width="7.1640625" bestFit="1" customWidth="1"/>
    <col min="186" max="190" width="8.1640625" bestFit="1" customWidth="1"/>
    <col min="191" max="191" width="7.1640625" bestFit="1" customWidth="1"/>
    <col min="192" max="211" width="8.1640625" bestFit="1" customWidth="1"/>
    <col min="212" max="212" width="7.1640625" bestFit="1" customWidth="1"/>
    <col min="213" max="213" width="10.5" bestFit="1" customWidth="1"/>
  </cols>
  <sheetData>
    <row r="1" spans="1:3" x14ac:dyDescent="0.2">
      <c r="A1" s="2" t="s">
        <v>2</v>
      </c>
      <c r="B1" t="s">
        <v>445</v>
      </c>
    </row>
    <row r="3" spans="1:3" x14ac:dyDescent="0.2">
      <c r="A3" s="2" t="s">
        <v>440</v>
      </c>
      <c r="B3" t="s">
        <v>443</v>
      </c>
      <c r="C3" t="s">
        <v>444</v>
      </c>
    </row>
    <row r="4" spans="1:3" x14ac:dyDescent="0.2">
      <c r="A4" s="3" t="s">
        <v>322</v>
      </c>
      <c r="B4" s="1">
        <v>1023.04</v>
      </c>
      <c r="C4" s="1">
        <v>156</v>
      </c>
    </row>
    <row r="5" spans="1:3" x14ac:dyDescent="0.2">
      <c r="A5" s="3" t="s">
        <v>141</v>
      </c>
      <c r="B5" s="1">
        <v>1354.11</v>
      </c>
      <c r="C5" s="1">
        <v>66</v>
      </c>
    </row>
    <row r="6" spans="1:3" x14ac:dyDescent="0.2">
      <c r="A6" s="3" t="s">
        <v>83</v>
      </c>
      <c r="B6" s="1">
        <v>1489.1</v>
      </c>
      <c r="C6" s="1">
        <v>37</v>
      </c>
    </row>
    <row r="7" spans="1:3" x14ac:dyDescent="0.2">
      <c r="A7" s="3" t="s">
        <v>386</v>
      </c>
      <c r="B7" s="1">
        <v>900.27</v>
      </c>
      <c r="C7" s="1">
        <v>188</v>
      </c>
    </row>
    <row r="8" spans="1:3" x14ac:dyDescent="0.2">
      <c r="A8" s="3" t="s">
        <v>312</v>
      </c>
      <c r="B8" s="1">
        <v>1035.2</v>
      </c>
      <c r="C8" s="1">
        <v>151</v>
      </c>
    </row>
    <row r="9" spans="1:3" x14ac:dyDescent="0.2">
      <c r="A9" s="3" t="s">
        <v>248</v>
      </c>
      <c r="B9" s="1">
        <v>1155.9000000000001</v>
      </c>
      <c r="C9" s="1">
        <v>119</v>
      </c>
    </row>
    <row r="10" spans="1:3" x14ac:dyDescent="0.2">
      <c r="A10" s="3" t="s">
        <v>430</v>
      </c>
      <c r="B10" s="1">
        <v>790.74</v>
      </c>
      <c r="C10" s="1">
        <v>210</v>
      </c>
    </row>
    <row r="11" spans="1:3" x14ac:dyDescent="0.2">
      <c r="A11" s="3" t="s">
        <v>272</v>
      </c>
      <c r="B11" s="1">
        <v>1117.01</v>
      </c>
      <c r="C11" s="1">
        <v>131</v>
      </c>
    </row>
    <row r="12" spans="1:3" x14ac:dyDescent="0.2">
      <c r="A12" s="3" t="s">
        <v>13</v>
      </c>
      <c r="B12" s="1">
        <v>1773.88</v>
      </c>
      <c r="C12" s="1">
        <v>3</v>
      </c>
    </row>
    <row r="13" spans="1:3" x14ac:dyDescent="0.2">
      <c r="A13" s="3" t="s">
        <v>195</v>
      </c>
      <c r="B13" s="1">
        <v>1233.93</v>
      </c>
      <c r="C13" s="1">
        <v>93</v>
      </c>
    </row>
    <row r="14" spans="1:3" x14ac:dyDescent="0.2">
      <c r="A14" s="3" t="s">
        <v>412</v>
      </c>
      <c r="B14" s="1">
        <v>855.37</v>
      </c>
      <c r="C14" s="1">
        <v>201</v>
      </c>
    </row>
    <row r="15" spans="1:3" x14ac:dyDescent="0.2">
      <c r="A15" s="3" t="s">
        <v>85</v>
      </c>
      <c r="B15" s="1">
        <v>1488.72</v>
      </c>
      <c r="C15" s="1">
        <v>38</v>
      </c>
    </row>
    <row r="16" spans="1:3" x14ac:dyDescent="0.2">
      <c r="A16" s="3" t="s">
        <v>77</v>
      </c>
      <c r="B16" s="1">
        <v>1492.95</v>
      </c>
      <c r="C16" s="1">
        <v>34</v>
      </c>
    </row>
    <row r="17" spans="1:3" x14ac:dyDescent="0.2">
      <c r="A17" s="3" t="s">
        <v>256</v>
      </c>
      <c r="B17" s="1">
        <v>1146.72</v>
      </c>
      <c r="C17" s="1">
        <v>123</v>
      </c>
    </row>
    <row r="18" spans="1:3" x14ac:dyDescent="0.2">
      <c r="A18" s="3" t="s">
        <v>414</v>
      </c>
      <c r="B18" s="1">
        <v>854.8</v>
      </c>
      <c r="C18" s="1">
        <v>202</v>
      </c>
    </row>
    <row r="19" spans="1:3" x14ac:dyDescent="0.2">
      <c r="A19" s="3" t="s">
        <v>179</v>
      </c>
      <c r="B19" s="1">
        <v>1280.6400000000001</v>
      </c>
      <c r="C19" s="1">
        <v>85</v>
      </c>
    </row>
    <row r="20" spans="1:3" x14ac:dyDescent="0.2">
      <c r="A20" s="3" t="s">
        <v>394</v>
      </c>
      <c r="B20" s="1">
        <v>884.45</v>
      </c>
      <c r="C20" s="1">
        <v>192</v>
      </c>
    </row>
    <row r="21" spans="1:3" x14ac:dyDescent="0.2">
      <c r="A21" s="3" t="s">
        <v>342</v>
      </c>
      <c r="B21" s="1">
        <v>982.27</v>
      </c>
      <c r="C21" s="1">
        <v>166</v>
      </c>
    </row>
    <row r="22" spans="1:3" x14ac:dyDescent="0.2">
      <c r="A22" s="3" t="s">
        <v>203</v>
      </c>
      <c r="B22" s="1">
        <v>1221.06</v>
      </c>
      <c r="C22" s="1">
        <v>97</v>
      </c>
    </row>
    <row r="23" spans="1:3" x14ac:dyDescent="0.2">
      <c r="A23" s="3" t="s">
        <v>10</v>
      </c>
      <c r="B23" s="1">
        <v>1816.71</v>
      </c>
      <c r="C23" s="1">
        <v>2</v>
      </c>
    </row>
    <row r="24" spans="1:3" x14ac:dyDescent="0.2">
      <c r="A24" s="3" t="s">
        <v>362</v>
      </c>
      <c r="B24" s="1">
        <v>950.88</v>
      </c>
      <c r="C24" s="1">
        <v>176</v>
      </c>
    </row>
    <row r="25" spans="1:3" x14ac:dyDescent="0.2">
      <c r="A25" s="3" t="s">
        <v>191</v>
      </c>
      <c r="B25" s="1">
        <v>1247.47</v>
      </c>
      <c r="C25" s="1">
        <v>91</v>
      </c>
    </row>
    <row r="26" spans="1:3" x14ac:dyDescent="0.2">
      <c r="A26" s="3" t="s">
        <v>348</v>
      </c>
      <c r="B26" s="1">
        <v>977.47</v>
      </c>
      <c r="C26" s="1">
        <v>169</v>
      </c>
    </row>
    <row r="27" spans="1:3" x14ac:dyDescent="0.2">
      <c r="A27" s="3" t="s">
        <v>380</v>
      </c>
      <c r="B27" s="1">
        <v>910.96</v>
      </c>
      <c r="C27" s="1">
        <v>185</v>
      </c>
    </row>
    <row r="28" spans="1:3" x14ac:dyDescent="0.2">
      <c r="A28" s="3" t="s">
        <v>173</v>
      </c>
      <c r="B28" s="1">
        <v>1296.28</v>
      </c>
      <c r="C28" s="1">
        <v>82</v>
      </c>
    </row>
    <row r="29" spans="1:3" x14ac:dyDescent="0.2">
      <c r="A29" s="3" t="s">
        <v>125</v>
      </c>
      <c r="B29" s="1">
        <v>1403.51</v>
      </c>
      <c r="C29" s="1">
        <v>58</v>
      </c>
    </row>
    <row r="30" spans="1:3" x14ac:dyDescent="0.2">
      <c r="A30" s="3" t="s">
        <v>306</v>
      </c>
      <c r="B30" s="1">
        <v>1056.46</v>
      </c>
      <c r="C30" s="1">
        <v>148</v>
      </c>
    </row>
    <row r="31" spans="1:3" x14ac:dyDescent="0.2">
      <c r="A31" s="3" t="s">
        <v>7</v>
      </c>
      <c r="B31" s="1">
        <v>1841.3</v>
      </c>
      <c r="C31" s="1">
        <v>1</v>
      </c>
    </row>
    <row r="32" spans="1:3" x14ac:dyDescent="0.2">
      <c r="A32" s="3" t="s">
        <v>428</v>
      </c>
      <c r="B32" s="1">
        <v>809.32</v>
      </c>
      <c r="C32" s="1">
        <v>209</v>
      </c>
    </row>
    <row r="33" spans="1:3" x14ac:dyDescent="0.2">
      <c r="A33" s="3" t="s">
        <v>390</v>
      </c>
      <c r="B33" s="1">
        <v>898.41</v>
      </c>
      <c r="C33" s="1">
        <v>190</v>
      </c>
    </row>
    <row r="34" spans="1:3" x14ac:dyDescent="0.2">
      <c r="A34" s="3" t="s">
        <v>153</v>
      </c>
      <c r="B34" s="1">
        <v>1335.36</v>
      </c>
      <c r="C34" s="1">
        <v>72</v>
      </c>
    </row>
    <row r="35" spans="1:3" x14ac:dyDescent="0.2">
      <c r="A35" s="3" t="s">
        <v>117</v>
      </c>
      <c r="B35" s="1">
        <v>1432.25</v>
      </c>
      <c r="C35" s="1">
        <v>54</v>
      </c>
    </row>
    <row r="36" spans="1:3" x14ac:dyDescent="0.2">
      <c r="A36" s="3" t="s">
        <v>292</v>
      </c>
      <c r="B36" s="1">
        <v>1076.26</v>
      </c>
      <c r="C36" s="1">
        <v>141</v>
      </c>
    </row>
    <row r="37" spans="1:3" x14ac:dyDescent="0.2">
      <c r="A37" s="3" t="s">
        <v>151</v>
      </c>
      <c r="B37" s="1">
        <v>1336.05</v>
      </c>
      <c r="C37" s="1">
        <v>71</v>
      </c>
    </row>
    <row r="38" spans="1:3" x14ac:dyDescent="0.2">
      <c r="A38" s="3" t="s">
        <v>364</v>
      </c>
      <c r="B38" s="1">
        <v>948.62</v>
      </c>
      <c r="C38" s="1">
        <v>177</v>
      </c>
    </row>
    <row r="39" spans="1:3" x14ac:dyDescent="0.2">
      <c r="A39" s="3" t="s">
        <v>95</v>
      </c>
      <c r="B39" s="1">
        <v>1471.44</v>
      </c>
      <c r="C39" s="1">
        <v>43</v>
      </c>
    </row>
    <row r="40" spans="1:3" x14ac:dyDescent="0.2">
      <c r="A40" s="3" t="s">
        <v>91</v>
      </c>
      <c r="B40" s="1">
        <v>1475</v>
      </c>
      <c r="C40" s="1">
        <v>41</v>
      </c>
    </row>
    <row r="41" spans="1:3" x14ac:dyDescent="0.2">
      <c r="A41" s="3" t="s">
        <v>400</v>
      </c>
      <c r="B41" s="1">
        <v>865.72</v>
      </c>
      <c r="C41" s="1">
        <v>195</v>
      </c>
    </row>
    <row r="42" spans="1:3" x14ac:dyDescent="0.2">
      <c r="A42" s="3" t="s">
        <v>274</v>
      </c>
      <c r="B42" s="1">
        <v>1116.97</v>
      </c>
      <c r="C42" s="1">
        <v>132</v>
      </c>
    </row>
    <row r="43" spans="1:3" x14ac:dyDescent="0.2">
      <c r="A43" s="3" t="s">
        <v>372</v>
      </c>
      <c r="B43" s="1">
        <v>930.22</v>
      </c>
      <c r="C43" s="1">
        <v>181</v>
      </c>
    </row>
    <row r="44" spans="1:3" x14ac:dyDescent="0.2">
      <c r="A44" s="3" t="s">
        <v>67</v>
      </c>
      <c r="B44" s="1">
        <v>1509.61</v>
      </c>
      <c r="C44" s="1">
        <v>29</v>
      </c>
    </row>
    <row r="45" spans="1:3" x14ac:dyDescent="0.2">
      <c r="A45" s="3" t="s">
        <v>167</v>
      </c>
      <c r="B45" s="1">
        <v>1305.06</v>
      </c>
      <c r="C45" s="1">
        <v>79</v>
      </c>
    </row>
    <row r="46" spans="1:3" x14ac:dyDescent="0.2">
      <c r="A46" s="3" t="s">
        <v>324</v>
      </c>
      <c r="B46" s="1">
        <v>1017.78</v>
      </c>
      <c r="C46" s="1">
        <v>157</v>
      </c>
    </row>
    <row r="47" spans="1:3" x14ac:dyDescent="0.2">
      <c r="A47" s="3" t="s">
        <v>41</v>
      </c>
      <c r="B47" s="1">
        <v>1611.04</v>
      </c>
      <c r="C47" s="1">
        <v>17</v>
      </c>
    </row>
    <row r="48" spans="1:3" x14ac:dyDescent="0.2">
      <c r="A48" s="3" t="s">
        <v>268</v>
      </c>
      <c r="B48" s="1">
        <v>1123.18</v>
      </c>
      <c r="C48" s="1">
        <v>129</v>
      </c>
    </row>
    <row r="49" spans="1:3" x14ac:dyDescent="0.2">
      <c r="A49" s="3" t="s">
        <v>209</v>
      </c>
      <c r="B49" s="1">
        <v>1208.79</v>
      </c>
      <c r="C49" s="1">
        <v>100</v>
      </c>
    </row>
    <row r="50" spans="1:3" x14ac:dyDescent="0.2">
      <c r="A50" s="3" t="s">
        <v>155</v>
      </c>
      <c r="B50" s="1">
        <v>1333.92</v>
      </c>
      <c r="C50" s="1">
        <v>73</v>
      </c>
    </row>
    <row r="51" spans="1:3" x14ac:dyDescent="0.2">
      <c r="A51" s="3" t="s">
        <v>388</v>
      </c>
      <c r="B51" s="1">
        <v>899.33</v>
      </c>
      <c r="C51" s="1">
        <v>189</v>
      </c>
    </row>
    <row r="52" spans="1:3" x14ac:dyDescent="0.2">
      <c r="A52" s="3" t="s">
        <v>71</v>
      </c>
      <c r="B52" s="1">
        <v>1503.59</v>
      </c>
      <c r="C52" s="1">
        <v>31</v>
      </c>
    </row>
    <row r="53" spans="1:3" x14ac:dyDescent="0.2">
      <c r="A53" s="3" t="s">
        <v>105</v>
      </c>
      <c r="B53" s="1">
        <v>1443.06</v>
      </c>
      <c r="C53" s="1">
        <v>48</v>
      </c>
    </row>
    <row r="54" spans="1:3" x14ac:dyDescent="0.2">
      <c r="A54" s="3" t="s">
        <v>31</v>
      </c>
      <c r="B54" s="1">
        <v>1645.64</v>
      </c>
      <c r="C54" s="1">
        <v>12</v>
      </c>
    </row>
    <row r="55" spans="1:3" x14ac:dyDescent="0.2">
      <c r="A55" s="3" t="s">
        <v>344</v>
      </c>
      <c r="B55" s="1">
        <v>978.65</v>
      </c>
      <c r="C55" s="1">
        <v>167</v>
      </c>
    </row>
    <row r="56" spans="1:3" x14ac:dyDescent="0.2">
      <c r="A56" s="3" t="s">
        <v>181</v>
      </c>
      <c r="B56" s="1">
        <v>1278.6400000000001</v>
      </c>
      <c r="C56" s="1">
        <v>86</v>
      </c>
    </row>
    <row r="57" spans="1:3" x14ac:dyDescent="0.2">
      <c r="A57" s="3" t="s">
        <v>230</v>
      </c>
      <c r="B57" s="1">
        <v>1183.82</v>
      </c>
      <c r="C57" s="1">
        <v>110</v>
      </c>
    </row>
    <row r="58" spans="1:3" x14ac:dyDescent="0.2">
      <c r="A58" s="3" t="s">
        <v>79</v>
      </c>
      <c r="B58" s="1">
        <v>1492.21</v>
      </c>
      <c r="C58" s="1">
        <v>35</v>
      </c>
    </row>
    <row r="59" spans="1:3" x14ac:dyDescent="0.2">
      <c r="A59" s="3" t="s">
        <v>27</v>
      </c>
      <c r="B59" s="1">
        <v>1666.57</v>
      </c>
      <c r="C59" s="1">
        <v>10</v>
      </c>
    </row>
    <row r="60" spans="1:3" x14ac:dyDescent="0.2">
      <c r="A60" s="3" t="s">
        <v>396</v>
      </c>
      <c r="B60" s="1">
        <v>875.05</v>
      </c>
      <c r="C60" s="1">
        <v>193</v>
      </c>
    </row>
    <row r="61" spans="1:3" x14ac:dyDescent="0.2">
      <c r="A61" s="3" t="s">
        <v>378</v>
      </c>
      <c r="B61" s="1">
        <v>911.51</v>
      </c>
      <c r="C61" s="1">
        <v>184</v>
      </c>
    </row>
    <row r="62" spans="1:3" x14ac:dyDescent="0.2">
      <c r="A62" s="3" t="s">
        <v>316</v>
      </c>
      <c r="B62" s="1">
        <v>1031.8599999999999</v>
      </c>
      <c r="C62" s="1">
        <v>153</v>
      </c>
    </row>
    <row r="63" spans="1:3" x14ac:dyDescent="0.2">
      <c r="A63" s="3" t="s">
        <v>97</v>
      </c>
      <c r="B63" s="1">
        <v>1464.39</v>
      </c>
      <c r="C63" s="1">
        <v>44</v>
      </c>
    </row>
    <row r="64" spans="1:3" x14ac:dyDescent="0.2">
      <c r="A64" s="3" t="s">
        <v>87</v>
      </c>
      <c r="B64" s="1">
        <v>1486.44</v>
      </c>
      <c r="C64" s="1">
        <v>39</v>
      </c>
    </row>
    <row r="65" spans="1:3" x14ac:dyDescent="0.2">
      <c r="A65" s="3" t="s">
        <v>157</v>
      </c>
      <c r="B65" s="1">
        <v>1330.51</v>
      </c>
      <c r="C65" s="1">
        <v>74</v>
      </c>
    </row>
    <row r="66" spans="1:3" x14ac:dyDescent="0.2">
      <c r="A66" s="3" t="s">
        <v>17</v>
      </c>
      <c r="B66" s="1">
        <v>1728.47</v>
      </c>
      <c r="C66" s="1">
        <v>5</v>
      </c>
    </row>
    <row r="67" spans="1:3" x14ac:dyDescent="0.2">
      <c r="A67" s="3" t="s">
        <v>205</v>
      </c>
      <c r="B67" s="1">
        <v>1215.6600000000001</v>
      </c>
      <c r="C67" s="1">
        <v>98</v>
      </c>
    </row>
    <row r="68" spans="1:3" x14ac:dyDescent="0.2">
      <c r="A68" s="3" t="s">
        <v>410</v>
      </c>
      <c r="B68" s="1">
        <v>855.56</v>
      </c>
      <c r="C68" s="1">
        <v>200</v>
      </c>
    </row>
    <row r="69" spans="1:3" x14ac:dyDescent="0.2">
      <c r="A69" s="3" t="s">
        <v>228</v>
      </c>
      <c r="B69" s="1">
        <v>1184.6400000000001</v>
      </c>
      <c r="C69" s="1">
        <v>109</v>
      </c>
    </row>
    <row r="70" spans="1:3" x14ac:dyDescent="0.2">
      <c r="A70" s="3" t="s">
        <v>296</v>
      </c>
      <c r="B70" s="1">
        <v>1070.8900000000001</v>
      </c>
      <c r="C70" s="1">
        <v>143</v>
      </c>
    </row>
    <row r="71" spans="1:3" x14ac:dyDescent="0.2">
      <c r="A71" s="3" t="s">
        <v>286</v>
      </c>
      <c r="B71" s="1">
        <v>1091.19</v>
      </c>
      <c r="C71" s="1">
        <v>138</v>
      </c>
    </row>
    <row r="72" spans="1:3" x14ac:dyDescent="0.2">
      <c r="A72" s="3" t="s">
        <v>254</v>
      </c>
      <c r="B72" s="1">
        <v>1147.17</v>
      </c>
      <c r="C72" s="1">
        <v>122</v>
      </c>
    </row>
    <row r="73" spans="1:3" x14ac:dyDescent="0.2">
      <c r="A73" s="3" t="s">
        <v>336</v>
      </c>
      <c r="B73" s="1">
        <v>989.43</v>
      </c>
      <c r="C73" s="1">
        <v>163</v>
      </c>
    </row>
    <row r="74" spans="1:3" x14ac:dyDescent="0.2">
      <c r="A74" s="3" t="s">
        <v>121</v>
      </c>
      <c r="B74" s="1">
        <v>1405.6</v>
      </c>
      <c r="C74" s="1">
        <v>56</v>
      </c>
    </row>
    <row r="75" spans="1:3" x14ac:dyDescent="0.2">
      <c r="A75" s="3" t="s">
        <v>15</v>
      </c>
      <c r="B75" s="1">
        <v>1759.78</v>
      </c>
      <c r="C75" s="1">
        <v>4</v>
      </c>
    </row>
    <row r="76" spans="1:3" x14ac:dyDescent="0.2">
      <c r="A76" s="3" t="s">
        <v>171</v>
      </c>
      <c r="B76" s="1">
        <v>1301.8399999999999</v>
      </c>
      <c r="C76" s="1">
        <v>81</v>
      </c>
    </row>
    <row r="77" spans="1:3" x14ac:dyDescent="0.2">
      <c r="A77" s="3" t="s">
        <v>165</v>
      </c>
      <c r="B77" s="1">
        <v>1307.3399999999999</v>
      </c>
      <c r="C77" s="1">
        <v>78</v>
      </c>
    </row>
    <row r="78" spans="1:3" x14ac:dyDescent="0.2">
      <c r="A78" s="3" t="s">
        <v>29</v>
      </c>
      <c r="B78" s="1">
        <v>1650.21</v>
      </c>
      <c r="C78" s="1">
        <v>11</v>
      </c>
    </row>
    <row r="79" spans="1:3" x14ac:dyDescent="0.2">
      <c r="A79" s="3" t="s">
        <v>131</v>
      </c>
      <c r="B79" s="1">
        <v>1393</v>
      </c>
      <c r="C79" s="1">
        <v>61</v>
      </c>
    </row>
    <row r="80" spans="1:3" x14ac:dyDescent="0.2">
      <c r="A80" s="3" t="s">
        <v>418</v>
      </c>
      <c r="B80" s="1">
        <v>852.16</v>
      </c>
      <c r="C80" s="1">
        <v>204</v>
      </c>
    </row>
    <row r="81" spans="1:3" x14ac:dyDescent="0.2">
      <c r="A81" s="3" t="s">
        <v>113</v>
      </c>
      <c r="B81" s="1">
        <v>1437.6</v>
      </c>
      <c r="C81" s="1">
        <v>52</v>
      </c>
    </row>
    <row r="82" spans="1:3" x14ac:dyDescent="0.2">
      <c r="A82" s="3" t="s">
        <v>356</v>
      </c>
      <c r="B82" s="1">
        <v>963.72</v>
      </c>
      <c r="C82" s="1">
        <v>173</v>
      </c>
    </row>
    <row r="83" spans="1:3" x14ac:dyDescent="0.2">
      <c r="A83" s="3" t="s">
        <v>420</v>
      </c>
      <c r="B83" s="1">
        <v>838.33</v>
      </c>
      <c r="C83" s="1">
        <v>205</v>
      </c>
    </row>
    <row r="84" spans="1:3" x14ac:dyDescent="0.2">
      <c r="A84" s="3" t="s">
        <v>246</v>
      </c>
      <c r="B84" s="1">
        <v>1156.7</v>
      </c>
      <c r="C84" s="1">
        <v>118</v>
      </c>
    </row>
    <row r="85" spans="1:3" x14ac:dyDescent="0.2">
      <c r="A85" s="3" t="s">
        <v>175</v>
      </c>
      <c r="B85" s="1">
        <v>1290.47</v>
      </c>
      <c r="C85" s="1">
        <v>83</v>
      </c>
    </row>
    <row r="86" spans="1:3" x14ac:dyDescent="0.2">
      <c r="A86" s="3" t="s">
        <v>242</v>
      </c>
      <c r="B86" s="1">
        <v>1160.71</v>
      </c>
      <c r="C86" s="1">
        <v>116</v>
      </c>
    </row>
    <row r="87" spans="1:3" x14ac:dyDescent="0.2">
      <c r="A87" s="3" t="s">
        <v>352</v>
      </c>
      <c r="B87" s="1">
        <v>968.74</v>
      </c>
      <c r="C87" s="1">
        <v>171</v>
      </c>
    </row>
    <row r="88" spans="1:3" x14ac:dyDescent="0.2">
      <c r="A88" s="3" t="s">
        <v>183</v>
      </c>
      <c r="B88" s="1">
        <v>1269.07</v>
      </c>
      <c r="C88" s="1">
        <v>87</v>
      </c>
    </row>
    <row r="89" spans="1:3" x14ac:dyDescent="0.2">
      <c r="A89" s="3" t="s">
        <v>169</v>
      </c>
      <c r="B89" s="1">
        <v>1301.98</v>
      </c>
      <c r="C89" s="1">
        <v>80</v>
      </c>
    </row>
    <row r="90" spans="1:3" x14ac:dyDescent="0.2">
      <c r="A90" s="3" t="s">
        <v>300</v>
      </c>
      <c r="B90" s="1">
        <v>1062.3900000000001</v>
      </c>
      <c r="C90" s="1">
        <v>145</v>
      </c>
    </row>
    <row r="91" spans="1:3" x14ac:dyDescent="0.2">
      <c r="A91" s="3" t="s">
        <v>81</v>
      </c>
      <c r="B91" s="1">
        <v>1492.2</v>
      </c>
      <c r="C91" s="1">
        <v>36</v>
      </c>
    </row>
    <row r="92" spans="1:3" x14ac:dyDescent="0.2">
      <c r="A92" s="3" t="s">
        <v>133</v>
      </c>
      <c r="B92" s="1">
        <v>1384.41</v>
      </c>
      <c r="C92" s="1">
        <v>62</v>
      </c>
    </row>
    <row r="93" spans="1:3" x14ac:dyDescent="0.2">
      <c r="A93" s="3" t="s">
        <v>222</v>
      </c>
      <c r="B93" s="1">
        <v>1192.0899999999999</v>
      </c>
      <c r="C93" s="1">
        <v>106</v>
      </c>
    </row>
    <row r="94" spans="1:3" x14ac:dyDescent="0.2">
      <c r="A94" s="3" t="s">
        <v>314</v>
      </c>
      <c r="B94" s="1">
        <v>1033.9000000000001</v>
      </c>
      <c r="C94" s="1">
        <v>152</v>
      </c>
    </row>
    <row r="95" spans="1:3" x14ac:dyDescent="0.2">
      <c r="A95" s="3" t="s">
        <v>48</v>
      </c>
      <c r="B95" s="1">
        <v>1564.61</v>
      </c>
      <c r="C95" s="1">
        <v>20</v>
      </c>
    </row>
    <row r="96" spans="1:3" x14ac:dyDescent="0.2">
      <c r="A96" s="3" t="s">
        <v>145</v>
      </c>
      <c r="B96" s="1">
        <v>1343.01</v>
      </c>
      <c r="C96" s="1">
        <v>68</v>
      </c>
    </row>
    <row r="97" spans="1:3" x14ac:dyDescent="0.2">
      <c r="A97" s="3" t="s">
        <v>161</v>
      </c>
      <c r="B97" s="1">
        <v>1316.55</v>
      </c>
      <c r="C97" s="1">
        <v>76</v>
      </c>
    </row>
    <row r="98" spans="1:3" x14ac:dyDescent="0.2">
      <c r="A98" s="3" t="s">
        <v>19</v>
      </c>
      <c r="B98" s="1">
        <v>1726.14</v>
      </c>
      <c r="C98" s="1">
        <v>6</v>
      </c>
    </row>
    <row r="99" spans="1:3" x14ac:dyDescent="0.2">
      <c r="A99" s="3" t="s">
        <v>137</v>
      </c>
      <c r="B99" s="1">
        <v>1378.86</v>
      </c>
      <c r="C99" s="1">
        <v>64</v>
      </c>
    </row>
    <row r="100" spans="1:3" x14ac:dyDescent="0.2">
      <c r="A100" s="3" t="s">
        <v>57</v>
      </c>
      <c r="B100" s="1">
        <v>1559.54</v>
      </c>
      <c r="C100" s="1">
        <v>24</v>
      </c>
    </row>
    <row r="101" spans="1:3" x14ac:dyDescent="0.2">
      <c r="A101" s="3" t="s">
        <v>177</v>
      </c>
      <c r="B101" s="1">
        <v>1289.99</v>
      </c>
      <c r="C101" s="1">
        <v>84</v>
      </c>
    </row>
    <row r="102" spans="1:3" x14ac:dyDescent="0.2">
      <c r="A102" s="3" t="s">
        <v>236</v>
      </c>
      <c r="B102" s="1">
        <v>1166.6300000000001</v>
      </c>
      <c r="C102" s="1">
        <v>113</v>
      </c>
    </row>
    <row r="103" spans="1:3" x14ac:dyDescent="0.2">
      <c r="A103" s="3" t="s">
        <v>211</v>
      </c>
      <c r="B103" s="1">
        <v>1202.26</v>
      </c>
      <c r="C103" s="1">
        <v>101</v>
      </c>
    </row>
    <row r="104" spans="1:3" x14ac:dyDescent="0.2">
      <c r="A104" s="3" t="s">
        <v>234</v>
      </c>
      <c r="B104" s="1">
        <v>1169.96</v>
      </c>
      <c r="C104" s="1">
        <v>112</v>
      </c>
    </row>
    <row r="105" spans="1:3" x14ac:dyDescent="0.2">
      <c r="A105" s="3" t="s">
        <v>65</v>
      </c>
      <c r="B105" s="1">
        <v>1530.3</v>
      </c>
      <c r="C105" s="1">
        <v>28</v>
      </c>
    </row>
    <row r="106" spans="1:3" x14ac:dyDescent="0.2">
      <c r="A106" s="3" t="s">
        <v>224</v>
      </c>
      <c r="B106" s="1">
        <v>1187.01</v>
      </c>
      <c r="C106" s="1">
        <v>107</v>
      </c>
    </row>
    <row r="107" spans="1:3" x14ac:dyDescent="0.2">
      <c r="A107" s="3" t="s">
        <v>308</v>
      </c>
      <c r="B107" s="1">
        <v>1053.4100000000001</v>
      </c>
      <c r="C107" s="1">
        <v>149</v>
      </c>
    </row>
    <row r="108" spans="1:3" x14ac:dyDescent="0.2">
      <c r="A108" s="3" t="s">
        <v>199</v>
      </c>
      <c r="B108" s="1">
        <v>1230.22</v>
      </c>
      <c r="C108" s="1">
        <v>95</v>
      </c>
    </row>
    <row r="109" spans="1:3" x14ac:dyDescent="0.2">
      <c r="A109" s="3" t="s">
        <v>384</v>
      </c>
      <c r="B109" s="1">
        <v>905.51</v>
      </c>
      <c r="C109" s="1">
        <v>187</v>
      </c>
    </row>
    <row r="110" spans="1:3" x14ac:dyDescent="0.2">
      <c r="A110" s="3" t="s">
        <v>278</v>
      </c>
      <c r="B110" s="1">
        <v>1114.21</v>
      </c>
      <c r="C110" s="1">
        <v>134</v>
      </c>
    </row>
    <row r="111" spans="1:3" x14ac:dyDescent="0.2">
      <c r="A111" s="3" t="s">
        <v>207</v>
      </c>
      <c r="B111" s="1">
        <v>1211.71</v>
      </c>
      <c r="C111" s="1">
        <v>99</v>
      </c>
    </row>
    <row r="112" spans="1:3" x14ac:dyDescent="0.2">
      <c r="A112" s="3" t="s">
        <v>304</v>
      </c>
      <c r="B112" s="1">
        <v>1061.4000000000001</v>
      </c>
      <c r="C112" s="1">
        <v>147</v>
      </c>
    </row>
    <row r="113" spans="1:3" x14ac:dyDescent="0.2">
      <c r="A113" s="3" t="s">
        <v>310</v>
      </c>
      <c r="B113" s="1">
        <v>1049.6600000000001</v>
      </c>
      <c r="C113" s="1">
        <v>150</v>
      </c>
    </row>
    <row r="114" spans="1:3" x14ac:dyDescent="0.2">
      <c r="A114" s="3" t="s">
        <v>250</v>
      </c>
      <c r="B114" s="1">
        <v>1154.25</v>
      </c>
      <c r="C114" s="1">
        <v>120</v>
      </c>
    </row>
    <row r="115" spans="1:3" x14ac:dyDescent="0.2">
      <c r="A115" s="3" t="s">
        <v>402</v>
      </c>
      <c r="B115" s="1">
        <v>862.39</v>
      </c>
      <c r="C115" s="1">
        <v>196</v>
      </c>
    </row>
    <row r="116" spans="1:3" x14ac:dyDescent="0.2">
      <c r="A116" s="3" t="s">
        <v>298</v>
      </c>
      <c r="B116" s="1">
        <v>1069.75</v>
      </c>
      <c r="C116" s="1">
        <v>144</v>
      </c>
    </row>
    <row r="117" spans="1:3" x14ac:dyDescent="0.2">
      <c r="A117" s="3" t="s">
        <v>193</v>
      </c>
      <c r="B117" s="1">
        <v>1243.8</v>
      </c>
      <c r="C117" s="1">
        <v>92</v>
      </c>
    </row>
    <row r="118" spans="1:3" x14ac:dyDescent="0.2">
      <c r="A118" s="3" t="s">
        <v>374</v>
      </c>
      <c r="B118" s="1">
        <v>922.1</v>
      </c>
      <c r="C118" s="1">
        <v>182</v>
      </c>
    </row>
    <row r="119" spans="1:3" x14ac:dyDescent="0.2">
      <c r="A119" s="3" t="s">
        <v>213</v>
      </c>
      <c r="B119" s="1">
        <v>1200.74</v>
      </c>
      <c r="C119" s="1">
        <v>102</v>
      </c>
    </row>
    <row r="120" spans="1:3" x14ac:dyDescent="0.2">
      <c r="A120" s="3" t="s">
        <v>258</v>
      </c>
      <c r="B120" s="1">
        <v>1144.97</v>
      </c>
      <c r="C120" s="1">
        <v>124</v>
      </c>
    </row>
    <row r="121" spans="1:3" x14ac:dyDescent="0.2">
      <c r="A121" s="3" t="s">
        <v>302</v>
      </c>
      <c r="B121" s="1">
        <v>1062.32</v>
      </c>
      <c r="C121" s="1">
        <v>146</v>
      </c>
    </row>
    <row r="122" spans="1:3" x14ac:dyDescent="0.2">
      <c r="A122" s="3" t="s">
        <v>318</v>
      </c>
      <c r="B122" s="1">
        <v>1026.0899999999999</v>
      </c>
      <c r="C122" s="1">
        <v>154</v>
      </c>
    </row>
    <row r="123" spans="1:3" x14ac:dyDescent="0.2">
      <c r="A123" s="3" t="s">
        <v>101</v>
      </c>
      <c r="B123" s="1">
        <v>1448.85</v>
      </c>
      <c r="C123" s="1">
        <v>46</v>
      </c>
    </row>
    <row r="124" spans="1:3" x14ac:dyDescent="0.2">
      <c r="A124" s="3" t="s">
        <v>346</v>
      </c>
      <c r="B124" s="1">
        <v>977.92</v>
      </c>
      <c r="C124" s="1">
        <v>168</v>
      </c>
    </row>
    <row r="125" spans="1:3" x14ac:dyDescent="0.2">
      <c r="A125" s="3" t="s">
        <v>215</v>
      </c>
      <c r="B125" s="1">
        <v>1197.58</v>
      </c>
      <c r="C125" s="1">
        <v>103</v>
      </c>
    </row>
    <row r="126" spans="1:3" x14ac:dyDescent="0.2">
      <c r="A126" s="3" t="s">
        <v>370</v>
      </c>
      <c r="B126" s="1">
        <v>932.02</v>
      </c>
      <c r="C126" s="1">
        <v>180</v>
      </c>
    </row>
    <row r="127" spans="1:3" x14ac:dyDescent="0.2">
      <c r="A127" s="3" t="s">
        <v>33</v>
      </c>
      <c r="B127" s="1">
        <v>1644.89</v>
      </c>
      <c r="C127" s="1">
        <v>13</v>
      </c>
    </row>
    <row r="128" spans="1:3" x14ac:dyDescent="0.2">
      <c r="A128" s="3" t="s">
        <v>358</v>
      </c>
      <c r="B128" s="1">
        <v>961.23</v>
      </c>
      <c r="C128" s="1">
        <v>174</v>
      </c>
    </row>
    <row r="129" spans="1:3" x14ac:dyDescent="0.2">
      <c r="A129" s="3" t="s">
        <v>376</v>
      </c>
      <c r="B129" s="1">
        <v>913.55</v>
      </c>
      <c r="C129" s="1">
        <v>183</v>
      </c>
    </row>
    <row r="130" spans="1:3" x14ac:dyDescent="0.2">
      <c r="A130" s="3" t="s">
        <v>147</v>
      </c>
      <c r="B130" s="1">
        <v>1341.03</v>
      </c>
      <c r="C130" s="1">
        <v>69</v>
      </c>
    </row>
    <row r="131" spans="1:3" x14ac:dyDescent="0.2">
      <c r="A131" s="3" t="s">
        <v>368</v>
      </c>
      <c r="B131" s="1">
        <v>940.78</v>
      </c>
      <c r="C131" s="1">
        <v>179</v>
      </c>
    </row>
    <row r="132" spans="1:3" x14ac:dyDescent="0.2">
      <c r="A132" s="3" t="s">
        <v>53</v>
      </c>
      <c r="B132" s="1">
        <v>1563.5</v>
      </c>
      <c r="C132" s="1">
        <v>22</v>
      </c>
    </row>
    <row r="133" spans="1:3" x14ac:dyDescent="0.2">
      <c r="A133" s="3" t="s">
        <v>238</v>
      </c>
      <c r="B133" s="1">
        <v>1165.22</v>
      </c>
      <c r="C133" s="1">
        <v>114</v>
      </c>
    </row>
    <row r="134" spans="1:3" x14ac:dyDescent="0.2">
      <c r="A134" s="3" t="s">
        <v>326</v>
      </c>
      <c r="B134" s="1">
        <v>1007.89</v>
      </c>
      <c r="C134" s="1">
        <v>158</v>
      </c>
    </row>
    <row r="135" spans="1:3" x14ac:dyDescent="0.2">
      <c r="A135" s="3" t="s">
        <v>240</v>
      </c>
      <c r="B135" s="1">
        <v>1164.1300000000001</v>
      </c>
      <c r="C135" s="1">
        <v>115</v>
      </c>
    </row>
    <row r="136" spans="1:3" x14ac:dyDescent="0.2">
      <c r="A136" s="3" t="s">
        <v>360</v>
      </c>
      <c r="B136" s="1">
        <v>954.86</v>
      </c>
      <c r="C136" s="1">
        <v>175</v>
      </c>
    </row>
    <row r="137" spans="1:3" x14ac:dyDescent="0.2">
      <c r="A137" s="3" t="s">
        <v>23</v>
      </c>
      <c r="B137" s="1">
        <v>1694.51</v>
      </c>
      <c r="C137" s="1">
        <v>8</v>
      </c>
    </row>
    <row r="138" spans="1:3" x14ac:dyDescent="0.2">
      <c r="A138" s="3" t="s">
        <v>332</v>
      </c>
      <c r="B138" s="1">
        <v>995.58</v>
      </c>
      <c r="C138" s="1">
        <v>161</v>
      </c>
    </row>
    <row r="139" spans="1:3" x14ac:dyDescent="0.2">
      <c r="A139" s="3" t="s">
        <v>219</v>
      </c>
      <c r="B139" s="1">
        <v>1193.98</v>
      </c>
      <c r="C139" s="1">
        <v>105</v>
      </c>
    </row>
    <row r="140" spans="1:3" x14ac:dyDescent="0.2">
      <c r="A140" s="3" t="s">
        <v>294</v>
      </c>
      <c r="B140" s="1">
        <v>1071.83</v>
      </c>
      <c r="C140" s="1">
        <v>142</v>
      </c>
    </row>
    <row r="141" spans="1:3" x14ac:dyDescent="0.2">
      <c r="A141" s="3" t="s">
        <v>252</v>
      </c>
      <c r="B141" s="1">
        <v>1152.8</v>
      </c>
      <c r="C141" s="1">
        <v>121</v>
      </c>
    </row>
    <row r="142" spans="1:3" x14ac:dyDescent="0.2">
      <c r="A142" s="3" t="s">
        <v>73</v>
      </c>
      <c r="B142" s="1">
        <v>1498.47</v>
      </c>
      <c r="C142" s="1">
        <v>32</v>
      </c>
    </row>
    <row r="143" spans="1:3" x14ac:dyDescent="0.2">
      <c r="A143" s="3" t="s">
        <v>139</v>
      </c>
      <c r="B143" s="1">
        <v>1358.51</v>
      </c>
      <c r="C143" s="1">
        <v>65</v>
      </c>
    </row>
    <row r="144" spans="1:3" x14ac:dyDescent="0.2">
      <c r="A144" s="3" t="s">
        <v>127</v>
      </c>
      <c r="B144" s="1">
        <v>1396.55</v>
      </c>
      <c r="C144" s="1">
        <v>59</v>
      </c>
    </row>
    <row r="145" spans="1:3" x14ac:dyDescent="0.2">
      <c r="A145" s="3" t="s">
        <v>93</v>
      </c>
      <c r="B145" s="1">
        <v>1473.04</v>
      </c>
      <c r="C145" s="1">
        <v>42</v>
      </c>
    </row>
    <row r="146" spans="1:3" x14ac:dyDescent="0.2">
      <c r="A146" s="3" t="s">
        <v>159</v>
      </c>
      <c r="B146" s="1">
        <v>1320.29</v>
      </c>
      <c r="C146" s="1">
        <v>75</v>
      </c>
    </row>
    <row r="147" spans="1:3" x14ac:dyDescent="0.2">
      <c r="A147" s="3" t="s">
        <v>398</v>
      </c>
      <c r="B147" s="1">
        <v>866.81</v>
      </c>
      <c r="C147" s="1">
        <v>194</v>
      </c>
    </row>
    <row r="148" spans="1:3" x14ac:dyDescent="0.2">
      <c r="A148" s="3" t="s">
        <v>197</v>
      </c>
      <c r="B148" s="1">
        <v>1233.72</v>
      </c>
      <c r="C148" s="1">
        <v>94</v>
      </c>
    </row>
    <row r="149" spans="1:3" x14ac:dyDescent="0.2">
      <c r="A149" s="3" t="s">
        <v>129</v>
      </c>
      <c r="B149" s="1">
        <v>1393.28</v>
      </c>
      <c r="C149" s="1">
        <v>60</v>
      </c>
    </row>
    <row r="150" spans="1:3" x14ac:dyDescent="0.2">
      <c r="A150" s="3" t="s">
        <v>328</v>
      </c>
      <c r="B150" s="1">
        <v>1007.46</v>
      </c>
      <c r="C150" s="1">
        <v>159</v>
      </c>
    </row>
    <row r="151" spans="1:3" x14ac:dyDescent="0.2">
      <c r="A151" s="3" t="s">
        <v>103</v>
      </c>
      <c r="B151" s="1">
        <v>1448.77</v>
      </c>
      <c r="C151" s="1">
        <v>47</v>
      </c>
    </row>
    <row r="152" spans="1:3" x14ac:dyDescent="0.2">
      <c r="A152" s="3" t="s">
        <v>55</v>
      </c>
      <c r="B152" s="1">
        <v>1561.01</v>
      </c>
      <c r="C152" s="1">
        <v>23</v>
      </c>
    </row>
    <row r="153" spans="1:3" x14ac:dyDescent="0.2">
      <c r="A153" s="3" t="s">
        <v>276</v>
      </c>
      <c r="B153" s="1">
        <v>1115.1300000000001</v>
      </c>
      <c r="C153" s="1">
        <v>133</v>
      </c>
    </row>
    <row r="154" spans="1:3" x14ac:dyDescent="0.2">
      <c r="A154" s="3" t="s">
        <v>61</v>
      </c>
      <c r="B154" s="1">
        <v>1548.59</v>
      </c>
      <c r="C154" s="1">
        <v>26</v>
      </c>
    </row>
    <row r="155" spans="1:3" x14ac:dyDescent="0.2">
      <c r="A155" s="3" t="s">
        <v>25</v>
      </c>
      <c r="B155" s="1">
        <v>1676.56</v>
      </c>
      <c r="C155" s="1">
        <v>9</v>
      </c>
    </row>
    <row r="156" spans="1:3" x14ac:dyDescent="0.2">
      <c r="A156" s="3" t="s">
        <v>350</v>
      </c>
      <c r="B156" s="1">
        <v>974.32</v>
      </c>
      <c r="C156" s="1">
        <v>170</v>
      </c>
    </row>
    <row r="157" spans="1:3" x14ac:dyDescent="0.2">
      <c r="A157" s="3" t="s">
        <v>109</v>
      </c>
      <c r="B157" s="1">
        <v>1439.89</v>
      </c>
      <c r="C157" s="1">
        <v>50</v>
      </c>
    </row>
    <row r="158" spans="1:3" x14ac:dyDescent="0.2">
      <c r="A158" s="3" t="s">
        <v>107</v>
      </c>
      <c r="B158" s="1">
        <v>1440.19</v>
      </c>
      <c r="C158" s="1">
        <v>49</v>
      </c>
    </row>
    <row r="159" spans="1:3" x14ac:dyDescent="0.2">
      <c r="A159" s="3" t="s">
        <v>115</v>
      </c>
      <c r="B159" s="1">
        <v>1434.68</v>
      </c>
      <c r="C159" s="1">
        <v>53</v>
      </c>
    </row>
    <row r="160" spans="1:3" x14ac:dyDescent="0.2">
      <c r="A160" s="3" t="s">
        <v>75</v>
      </c>
      <c r="B160" s="1">
        <v>1496.11</v>
      </c>
      <c r="C160" s="1">
        <v>33</v>
      </c>
    </row>
    <row r="161" spans="1:3" x14ac:dyDescent="0.2">
      <c r="A161" s="3" t="s">
        <v>284</v>
      </c>
      <c r="B161" s="1">
        <v>1093.6600000000001</v>
      </c>
      <c r="C161" s="1">
        <v>137</v>
      </c>
    </row>
    <row r="162" spans="1:3" x14ac:dyDescent="0.2">
      <c r="A162" s="3" t="s">
        <v>392</v>
      </c>
      <c r="B162" s="1">
        <v>894.26</v>
      </c>
      <c r="C162" s="1">
        <v>191</v>
      </c>
    </row>
    <row r="163" spans="1:3" x14ac:dyDescent="0.2">
      <c r="A163" s="3" t="s">
        <v>432</v>
      </c>
      <c r="B163" s="1">
        <v>762.22</v>
      </c>
      <c r="C163" s="1">
        <v>211</v>
      </c>
    </row>
    <row r="164" spans="1:3" x14ac:dyDescent="0.2">
      <c r="A164" s="3" t="s">
        <v>382</v>
      </c>
      <c r="B164" s="1">
        <v>908.18</v>
      </c>
      <c r="C164" s="1">
        <v>186</v>
      </c>
    </row>
    <row r="165" spans="1:3" x14ac:dyDescent="0.2">
      <c r="A165" s="3" t="s">
        <v>111</v>
      </c>
      <c r="B165" s="1">
        <v>1437.78</v>
      </c>
      <c r="C165" s="1">
        <v>51</v>
      </c>
    </row>
    <row r="166" spans="1:3" x14ac:dyDescent="0.2">
      <c r="A166" s="3" t="s">
        <v>89</v>
      </c>
      <c r="B166" s="1">
        <v>1479.53</v>
      </c>
      <c r="C166" s="1">
        <v>40</v>
      </c>
    </row>
    <row r="167" spans="1:3" x14ac:dyDescent="0.2">
      <c r="A167" s="3" t="s">
        <v>43</v>
      </c>
      <c r="B167" s="1">
        <v>1584.38</v>
      </c>
      <c r="C167" s="1">
        <v>18</v>
      </c>
    </row>
    <row r="168" spans="1:3" x14ac:dyDescent="0.2">
      <c r="A168" s="3" t="s">
        <v>51</v>
      </c>
      <c r="B168" s="1">
        <v>1563.62</v>
      </c>
      <c r="C168" s="1">
        <v>21</v>
      </c>
    </row>
    <row r="169" spans="1:3" x14ac:dyDescent="0.2">
      <c r="A169" s="3" t="s">
        <v>408</v>
      </c>
      <c r="B169" s="1">
        <v>859.56</v>
      </c>
      <c r="C169" s="1">
        <v>199</v>
      </c>
    </row>
    <row r="170" spans="1:3" x14ac:dyDescent="0.2">
      <c r="A170" s="3" t="s">
        <v>244</v>
      </c>
      <c r="B170" s="1">
        <v>1160.31</v>
      </c>
      <c r="C170" s="1">
        <v>117</v>
      </c>
    </row>
    <row r="171" spans="1:3" x14ac:dyDescent="0.2">
      <c r="A171" s="3" t="s">
        <v>330</v>
      </c>
      <c r="B171" s="1">
        <v>1003.5</v>
      </c>
      <c r="C171" s="1">
        <v>160</v>
      </c>
    </row>
    <row r="172" spans="1:3" x14ac:dyDescent="0.2">
      <c r="A172" s="3" t="s">
        <v>119</v>
      </c>
      <c r="B172" s="1">
        <v>1425.59</v>
      </c>
      <c r="C172" s="1">
        <v>55</v>
      </c>
    </row>
    <row r="173" spans="1:3" x14ac:dyDescent="0.2">
      <c r="A173" s="3" t="s">
        <v>135</v>
      </c>
      <c r="B173" s="1">
        <v>1384.04</v>
      </c>
      <c r="C173" s="1">
        <v>63</v>
      </c>
    </row>
    <row r="174" spans="1:3" x14ac:dyDescent="0.2">
      <c r="A174" s="3" t="s">
        <v>282</v>
      </c>
      <c r="B174" s="1">
        <v>1095.7</v>
      </c>
      <c r="C174" s="1">
        <v>136</v>
      </c>
    </row>
    <row r="175" spans="1:3" x14ac:dyDescent="0.2">
      <c r="A175" s="3" t="s">
        <v>416</v>
      </c>
      <c r="B175" s="1">
        <v>854.72</v>
      </c>
      <c r="C175" s="1">
        <v>203</v>
      </c>
    </row>
    <row r="176" spans="1:3" x14ac:dyDescent="0.2">
      <c r="A176" s="3" t="s">
        <v>143</v>
      </c>
      <c r="B176" s="1">
        <v>1349.59</v>
      </c>
      <c r="C176" s="1">
        <v>67</v>
      </c>
    </row>
    <row r="177" spans="1:3" x14ac:dyDescent="0.2">
      <c r="A177" s="3" t="s">
        <v>340</v>
      </c>
      <c r="B177" s="1">
        <v>983.99</v>
      </c>
      <c r="C177" s="1">
        <v>165</v>
      </c>
    </row>
    <row r="178" spans="1:3" x14ac:dyDescent="0.2">
      <c r="A178" s="3" t="s">
        <v>21</v>
      </c>
      <c r="B178" s="1">
        <v>1715.22</v>
      </c>
      <c r="C178" s="1">
        <v>7</v>
      </c>
    </row>
    <row r="179" spans="1:3" x14ac:dyDescent="0.2">
      <c r="A179" s="3" t="s">
        <v>424</v>
      </c>
      <c r="B179" s="1">
        <v>825.25</v>
      </c>
      <c r="C179" s="1">
        <v>207</v>
      </c>
    </row>
    <row r="180" spans="1:3" x14ac:dyDescent="0.2">
      <c r="A180" s="3" t="s">
        <v>290</v>
      </c>
      <c r="B180" s="1">
        <v>1076.9100000000001</v>
      </c>
      <c r="C180" s="1">
        <v>140</v>
      </c>
    </row>
    <row r="181" spans="1:3" x14ac:dyDescent="0.2">
      <c r="A181" s="3" t="s">
        <v>354</v>
      </c>
      <c r="B181" s="1">
        <v>965.66</v>
      </c>
      <c r="C181" s="1">
        <v>172</v>
      </c>
    </row>
    <row r="182" spans="1:3" x14ac:dyDescent="0.2">
      <c r="A182" s="3" t="s">
        <v>366</v>
      </c>
      <c r="B182" s="1">
        <v>945.25</v>
      </c>
      <c r="C182" s="1">
        <v>178</v>
      </c>
    </row>
    <row r="183" spans="1:3" x14ac:dyDescent="0.2">
      <c r="A183" s="3" t="s">
        <v>266</v>
      </c>
      <c r="B183" s="1">
        <v>1127.3399999999999</v>
      </c>
      <c r="C183" s="1">
        <v>128</v>
      </c>
    </row>
    <row r="184" spans="1:3" x14ac:dyDescent="0.2">
      <c r="A184" s="3" t="s">
        <v>288</v>
      </c>
      <c r="B184" s="1">
        <v>1077.3</v>
      </c>
      <c r="C184" s="1">
        <v>139</v>
      </c>
    </row>
    <row r="185" spans="1:3" x14ac:dyDescent="0.2">
      <c r="A185" s="3" t="s">
        <v>59</v>
      </c>
      <c r="B185" s="1">
        <v>1553.33</v>
      </c>
      <c r="C185" s="1">
        <v>25</v>
      </c>
    </row>
    <row r="186" spans="1:3" x14ac:dyDescent="0.2">
      <c r="A186" s="3" t="s">
        <v>38</v>
      </c>
      <c r="B186" s="1">
        <v>1635.92</v>
      </c>
      <c r="C186" s="1">
        <v>15</v>
      </c>
    </row>
    <row r="187" spans="1:3" x14ac:dyDescent="0.2">
      <c r="A187" s="3" t="s">
        <v>189</v>
      </c>
      <c r="B187" s="1">
        <v>1255.92</v>
      </c>
      <c r="C187" s="1">
        <v>90</v>
      </c>
    </row>
    <row r="188" spans="1:3" x14ac:dyDescent="0.2">
      <c r="A188" s="3" t="s">
        <v>334</v>
      </c>
      <c r="B188" s="1">
        <v>995.11</v>
      </c>
      <c r="C188" s="1">
        <v>162</v>
      </c>
    </row>
    <row r="189" spans="1:3" x14ac:dyDescent="0.2">
      <c r="A189" s="3" t="s">
        <v>226</v>
      </c>
      <c r="B189" s="1">
        <v>1185.7</v>
      </c>
      <c r="C189" s="1">
        <v>108</v>
      </c>
    </row>
    <row r="190" spans="1:3" x14ac:dyDescent="0.2">
      <c r="A190" s="3" t="s">
        <v>270</v>
      </c>
      <c r="B190" s="1">
        <v>1119.8900000000001</v>
      </c>
      <c r="C190" s="1">
        <v>130</v>
      </c>
    </row>
    <row r="191" spans="1:3" x14ac:dyDescent="0.2">
      <c r="A191" s="3" t="s">
        <v>232</v>
      </c>
      <c r="B191" s="1">
        <v>1174.92</v>
      </c>
      <c r="C191" s="1">
        <v>111</v>
      </c>
    </row>
    <row r="192" spans="1:3" x14ac:dyDescent="0.2">
      <c r="A192" s="3" t="s">
        <v>262</v>
      </c>
      <c r="B192" s="1">
        <v>1137.47</v>
      </c>
      <c r="C192" s="1">
        <v>126</v>
      </c>
    </row>
    <row r="193" spans="1:3" x14ac:dyDescent="0.2">
      <c r="A193" s="3" t="s">
        <v>406</v>
      </c>
      <c r="B193" s="1">
        <v>860.06</v>
      </c>
      <c r="C193" s="1">
        <v>198</v>
      </c>
    </row>
    <row r="194" spans="1:3" x14ac:dyDescent="0.2">
      <c r="A194" s="3" t="s">
        <v>264</v>
      </c>
      <c r="B194" s="1">
        <v>1128.92</v>
      </c>
      <c r="C194" s="1">
        <v>127</v>
      </c>
    </row>
    <row r="195" spans="1:3" x14ac:dyDescent="0.2">
      <c r="A195" s="3" t="s">
        <v>404</v>
      </c>
      <c r="B195" s="1">
        <v>861.81</v>
      </c>
      <c r="C195" s="1">
        <v>197</v>
      </c>
    </row>
    <row r="196" spans="1:3" x14ac:dyDescent="0.2">
      <c r="A196" s="3" t="s">
        <v>217</v>
      </c>
      <c r="B196" s="1">
        <v>1195.29</v>
      </c>
      <c r="C196" s="1">
        <v>104</v>
      </c>
    </row>
    <row r="197" spans="1:3" x14ac:dyDescent="0.2">
      <c r="A197" s="3" t="s">
        <v>69</v>
      </c>
      <c r="B197" s="1">
        <v>1507.54</v>
      </c>
      <c r="C197" s="1">
        <v>30</v>
      </c>
    </row>
    <row r="198" spans="1:3" x14ac:dyDescent="0.2">
      <c r="A198" s="3" t="s">
        <v>99</v>
      </c>
      <c r="B198" s="1">
        <v>1460.14</v>
      </c>
      <c r="C198" s="1">
        <v>45</v>
      </c>
    </row>
    <row r="199" spans="1:3" x14ac:dyDescent="0.2">
      <c r="A199" s="3" t="s">
        <v>280</v>
      </c>
      <c r="B199" s="1">
        <v>1100.47</v>
      </c>
      <c r="C199" s="1">
        <v>135</v>
      </c>
    </row>
    <row r="200" spans="1:3" x14ac:dyDescent="0.2">
      <c r="A200" s="3" t="s">
        <v>422</v>
      </c>
      <c r="B200" s="1">
        <v>832</v>
      </c>
      <c r="C200" s="1">
        <v>206</v>
      </c>
    </row>
    <row r="201" spans="1:3" x14ac:dyDescent="0.2">
      <c r="A201" s="3" t="s">
        <v>187</v>
      </c>
      <c r="B201" s="1">
        <v>1260.69</v>
      </c>
      <c r="C201" s="1">
        <v>89</v>
      </c>
    </row>
    <row r="202" spans="1:3" x14ac:dyDescent="0.2">
      <c r="A202" s="3" t="s">
        <v>63</v>
      </c>
      <c r="B202" s="1">
        <v>1536.99</v>
      </c>
      <c r="C202" s="1">
        <v>27</v>
      </c>
    </row>
    <row r="203" spans="1:3" x14ac:dyDescent="0.2">
      <c r="A203" s="3" t="s">
        <v>149</v>
      </c>
      <c r="B203" s="1">
        <v>1337.57</v>
      </c>
      <c r="C203" s="1">
        <v>70</v>
      </c>
    </row>
    <row r="204" spans="1:3" x14ac:dyDescent="0.2">
      <c r="A204" s="3" t="s">
        <v>36</v>
      </c>
      <c r="B204" s="1">
        <v>1638.71</v>
      </c>
      <c r="C204" s="1">
        <v>14</v>
      </c>
    </row>
    <row r="205" spans="1:3" x14ac:dyDescent="0.2">
      <c r="A205" s="3" t="s">
        <v>426</v>
      </c>
      <c r="B205" s="1">
        <v>823.97</v>
      </c>
      <c r="C205" s="1">
        <v>208</v>
      </c>
    </row>
    <row r="206" spans="1:3" x14ac:dyDescent="0.2">
      <c r="A206" s="3" t="s">
        <v>40</v>
      </c>
      <c r="B206" s="1">
        <v>1627.48</v>
      </c>
      <c r="C206" s="1">
        <v>16</v>
      </c>
    </row>
    <row r="207" spans="1:3" x14ac:dyDescent="0.2">
      <c r="A207" s="3" t="s">
        <v>163</v>
      </c>
      <c r="B207" s="1">
        <v>1309.98</v>
      </c>
      <c r="C207" s="1">
        <v>77</v>
      </c>
    </row>
    <row r="208" spans="1:3" x14ac:dyDescent="0.2">
      <c r="A208" s="3" t="s">
        <v>338</v>
      </c>
      <c r="B208" s="1">
        <v>985.62</v>
      </c>
      <c r="C208" s="1">
        <v>164</v>
      </c>
    </row>
    <row r="209" spans="1:3" x14ac:dyDescent="0.2">
      <c r="A209" s="3" t="s">
        <v>123</v>
      </c>
      <c r="B209" s="1">
        <v>1404.37</v>
      </c>
      <c r="C209" s="1">
        <v>57</v>
      </c>
    </row>
    <row r="210" spans="1:3" x14ac:dyDescent="0.2">
      <c r="A210" s="3" t="s">
        <v>201</v>
      </c>
      <c r="B210" s="1">
        <v>1226.6500000000001</v>
      </c>
      <c r="C210" s="1">
        <v>96</v>
      </c>
    </row>
    <row r="211" spans="1:3" x14ac:dyDescent="0.2">
      <c r="A211" s="3" t="s">
        <v>46</v>
      </c>
      <c r="B211" s="1">
        <v>1569.82</v>
      </c>
      <c r="C211" s="1">
        <v>19</v>
      </c>
    </row>
    <row r="212" spans="1:3" x14ac:dyDescent="0.2">
      <c r="A212" s="3" t="s">
        <v>320</v>
      </c>
      <c r="B212" s="1">
        <v>1023.52</v>
      </c>
      <c r="C212" s="1">
        <v>155</v>
      </c>
    </row>
    <row r="213" spans="1:3" x14ac:dyDescent="0.2">
      <c r="A213" s="3" t="s">
        <v>185</v>
      </c>
      <c r="B213" s="1">
        <v>1267.4100000000001</v>
      </c>
      <c r="C213" s="1">
        <v>88</v>
      </c>
    </row>
    <row r="214" spans="1:3" x14ac:dyDescent="0.2">
      <c r="A214" s="3" t="s">
        <v>260</v>
      </c>
      <c r="B214" s="1">
        <v>1138.56</v>
      </c>
      <c r="C214" s="1">
        <v>125</v>
      </c>
    </row>
    <row r="215" spans="1:3" x14ac:dyDescent="0.2">
      <c r="A215" s="3" t="s">
        <v>441</v>
      </c>
      <c r="B215" s="1">
        <v>257565.03000000009</v>
      </c>
      <c r="C215" s="1">
        <v>22366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C8237-F09A-4149-BC54-A94CBEC3D39D}">
  <dimension ref="A3:PI12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22" width="8.1640625" bestFit="1" customWidth="1"/>
    <col min="23" max="23" width="7.1640625" bestFit="1" customWidth="1"/>
    <col min="24" max="28" width="8.1640625" bestFit="1" customWidth="1"/>
    <col min="29" max="29" width="7.1640625" bestFit="1" customWidth="1"/>
    <col min="30" max="36" width="8.1640625" bestFit="1" customWidth="1"/>
    <col min="37" max="38" width="7.1640625" bestFit="1" customWidth="1"/>
    <col min="39" max="41" width="8.1640625" bestFit="1" customWidth="1"/>
    <col min="42" max="42" width="5.1640625" bestFit="1" customWidth="1"/>
    <col min="43" max="52" width="8.1640625" bestFit="1" customWidth="1"/>
    <col min="53" max="53" width="7.1640625" bestFit="1" customWidth="1"/>
    <col min="54" max="56" width="8.1640625" bestFit="1" customWidth="1"/>
    <col min="57" max="57" width="7.1640625" bestFit="1" customWidth="1"/>
    <col min="58" max="61" width="8.1640625" bestFit="1" customWidth="1"/>
    <col min="62" max="62" width="5.1640625" bestFit="1" customWidth="1"/>
    <col min="63" max="92" width="8.1640625" bestFit="1" customWidth="1"/>
    <col min="93" max="93" width="7.1640625" bestFit="1" customWidth="1"/>
    <col min="94" max="108" width="8.1640625" bestFit="1" customWidth="1"/>
    <col min="109" max="109" width="7.1640625" bestFit="1" customWidth="1"/>
    <col min="110" max="118" width="8.1640625" bestFit="1" customWidth="1"/>
    <col min="119" max="120" width="7.1640625" bestFit="1" customWidth="1"/>
    <col min="121" max="121" width="8.1640625" bestFit="1" customWidth="1"/>
    <col min="122" max="122" width="7.1640625" bestFit="1" customWidth="1"/>
    <col min="123" max="136" width="8.1640625" bestFit="1" customWidth="1"/>
    <col min="137" max="137" width="7.1640625" bestFit="1" customWidth="1"/>
    <col min="138" max="139" width="8.1640625" bestFit="1" customWidth="1"/>
    <col min="140" max="140" width="7.1640625" bestFit="1" customWidth="1"/>
    <col min="141" max="147" width="8.1640625" bestFit="1" customWidth="1"/>
    <col min="148" max="148" width="7.1640625" bestFit="1" customWidth="1"/>
    <col min="149" max="151" width="8.1640625" bestFit="1" customWidth="1"/>
    <col min="152" max="153" width="7.1640625" bestFit="1" customWidth="1"/>
    <col min="154" max="160" width="8.1640625" bestFit="1" customWidth="1"/>
    <col min="161" max="182" width="7.1640625" bestFit="1" customWidth="1"/>
    <col min="183" max="183" width="6.1640625" bestFit="1" customWidth="1"/>
    <col min="184" max="202" width="7.1640625" bestFit="1" customWidth="1"/>
    <col min="203" max="203" width="6.1640625" bestFit="1" customWidth="1"/>
    <col min="204" max="206" width="7.1640625" bestFit="1" customWidth="1"/>
    <col min="207" max="207" width="4.1640625" bestFit="1" customWidth="1"/>
    <col min="208" max="212" width="7.1640625" bestFit="1" customWidth="1"/>
    <col min="213" max="213" width="20.33203125" bestFit="1" customWidth="1"/>
    <col min="214" max="243" width="8.1640625" bestFit="1" customWidth="1"/>
    <col min="244" max="244" width="7.1640625" bestFit="1" customWidth="1"/>
    <col min="245" max="246" width="8.1640625" bestFit="1" customWidth="1"/>
    <col min="247" max="247" width="7.1640625" bestFit="1" customWidth="1"/>
    <col min="248" max="270" width="8.1640625" bestFit="1" customWidth="1"/>
    <col min="271" max="271" width="7.1640625" bestFit="1" customWidth="1"/>
    <col min="272" max="276" width="8.1640625" bestFit="1" customWidth="1"/>
    <col min="277" max="277" width="7.1640625" bestFit="1" customWidth="1"/>
    <col min="278" max="299" width="8.1640625" bestFit="1" customWidth="1"/>
    <col min="300" max="300" width="7.1640625" bestFit="1" customWidth="1"/>
    <col min="301" max="318" width="8.1640625" bestFit="1" customWidth="1"/>
    <col min="319" max="321" width="7.1640625" bestFit="1" customWidth="1"/>
    <col min="322" max="358" width="8.1640625" bestFit="1" customWidth="1"/>
    <col min="359" max="359" width="7.1640625" bestFit="1" customWidth="1"/>
    <col min="360" max="362" width="8.1640625" bestFit="1" customWidth="1"/>
    <col min="363" max="363" width="7.1640625" bestFit="1" customWidth="1"/>
    <col min="364" max="370" width="8.1640625" bestFit="1" customWidth="1"/>
    <col min="371" max="371" width="6.1640625" bestFit="1" customWidth="1"/>
    <col min="372" max="372" width="8.1640625" bestFit="1" customWidth="1"/>
    <col min="373" max="373" width="6.1640625" bestFit="1" customWidth="1"/>
    <col min="374" max="384" width="7.1640625" bestFit="1" customWidth="1"/>
    <col min="385" max="385" width="4.1640625" bestFit="1" customWidth="1"/>
    <col min="386" max="388" width="7.1640625" bestFit="1" customWidth="1"/>
    <col min="389" max="389" width="6.1640625" bestFit="1" customWidth="1"/>
    <col min="390" max="393" width="7.1640625" bestFit="1" customWidth="1"/>
    <col min="394" max="394" width="6.1640625" bestFit="1" customWidth="1"/>
    <col min="395" max="401" width="7.1640625" bestFit="1" customWidth="1"/>
    <col min="402" max="402" width="6.1640625" bestFit="1" customWidth="1"/>
    <col min="403" max="413" width="7.1640625" bestFit="1" customWidth="1"/>
    <col min="414" max="414" width="6.1640625" bestFit="1" customWidth="1"/>
    <col min="415" max="417" width="7.1640625" bestFit="1" customWidth="1"/>
    <col min="418" max="418" width="4.1640625" bestFit="1" customWidth="1"/>
    <col min="419" max="423" width="7.1640625" bestFit="1" customWidth="1"/>
    <col min="424" max="424" width="16.83203125" bestFit="1" customWidth="1"/>
    <col min="425" max="425" width="24.83203125" bestFit="1" customWidth="1"/>
  </cols>
  <sheetData>
    <row r="3" spans="1:425" x14ac:dyDescent="0.2">
      <c r="B3" s="2" t="s">
        <v>442</v>
      </c>
    </row>
    <row r="4" spans="1:425" x14ac:dyDescent="0.2">
      <c r="B4" t="s">
        <v>443</v>
      </c>
      <c r="HE4" t="s">
        <v>446</v>
      </c>
      <c r="PH4" t="s">
        <v>447</v>
      </c>
      <c r="PI4" t="s">
        <v>448</v>
      </c>
    </row>
    <row r="5" spans="1:425" x14ac:dyDescent="0.2">
      <c r="A5" s="2" t="s">
        <v>440</v>
      </c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  <c r="P5">
        <v>15</v>
      </c>
      <c r="Q5">
        <v>16</v>
      </c>
      <c r="R5">
        <v>17</v>
      </c>
      <c r="S5">
        <v>18</v>
      </c>
      <c r="T5">
        <v>19</v>
      </c>
      <c r="U5">
        <v>20</v>
      </c>
      <c r="V5">
        <v>21</v>
      </c>
      <c r="W5">
        <v>22</v>
      </c>
      <c r="X5">
        <v>23</v>
      </c>
      <c r="Y5">
        <v>24</v>
      </c>
      <c r="Z5">
        <v>25</v>
      </c>
      <c r="AA5">
        <v>26</v>
      </c>
      <c r="AB5">
        <v>27</v>
      </c>
      <c r="AC5">
        <v>28</v>
      </c>
      <c r="AD5">
        <v>29</v>
      </c>
      <c r="AE5">
        <v>30</v>
      </c>
      <c r="AF5">
        <v>31</v>
      </c>
      <c r="AG5">
        <v>32</v>
      </c>
      <c r="AH5">
        <v>33</v>
      </c>
      <c r="AI5">
        <v>34</v>
      </c>
      <c r="AJ5">
        <v>35</v>
      </c>
      <c r="AK5">
        <v>36</v>
      </c>
      <c r="AL5">
        <v>37</v>
      </c>
      <c r="AM5">
        <v>38</v>
      </c>
      <c r="AN5">
        <v>39</v>
      </c>
      <c r="AO5">
        <v>40</v>
      </c>
      <c r="AP5">
        <v>41</v>
      </c>
      <c r="AQ5">
        <v>42</v>
      </c>
      <c r="AR5">
        <v>43</v>
      </c>
      <c r="AS5">
        <v>44</v>
      </c>
      <c r="AT5">
        <v>45</v>
      </c>
      <c r="AU5">
        <v>46</v>
      </c>
      <c r="AV5">
        <v>47</v>
      </c>
      <c r="AW5">
        <v>48</v>
      </c>
      <c r="AX5">
        <v>49</v>
      </c>
      <c r="AY5">
        <v>50</v>
      </c>
      <c r="AZ5">
        <v>51</v>
      </c>
      <c r="BA5">
        <v>52</v>
      </c>
      <c r="BB5">
        <v>53</v>
      </c>
      <c r="BC5">
        <v>54</v>
      </c>
      <c r="BD5">
        <v>55</v>
      </c>
      <c r="BE5">
        <v>56</v>
      </c>
      <c r="BF5">
        <v>57</v>
      </c>
      <c r="BG5">
        <v>58</v>
      </c>
      <c r="BH5">
        <v>59</v>
      </c>
      <c r="BI5">
        <v>60</v>
      </c>
      <c r="BJ5">
        <v>61</v>
      </c>
      <c r="BK5">
        <v>62</v>
      </c>
      <c r="BL5">
        <v>63</v>
      </c>
      <c r="BM5">
        <v>64</v>
      </c>
      <c r="BN5">
        <v>65</v>
      </c>
      <c r="BO5">
        <v>66</v>
      </c>
      <c r="BP5">
        <v>67</v>
      </c>
      <c r="BQ5">
        <v>68</v>
      </c>
      <c r="BR5">
        <v>69</v>
      </c>
      <c r="BS5">
        <v>70</v>
      </c>
      <c r="BT5">
        <v>71</v>
      </c>
      <c r="BU5">
        <v>72</v>
      </c>
      <c r="BV5">
        <v>73</v>
      </c>
      <c r="BW5">
        <v>74</v>
      </c>
      <c r="BX5">
        <v>75</v>
      </c>
      <c r="BY5">
        <v>76</v>
      </c>
      <c r="BZ5">
        <v>77</v>
      </c>
      <c r="CA5">
        <v>78</v>
      </c>
      <c r="CB5">
        <v>79</v>
      </c>
      <c r="CC5">
        <v>80</v>
      </c>
      <c r="CD5">
        <v>81</v>
      </c>
      <c r="CE5">
        <v>82</v>
      </c>
      <c r="CF5">
        <v>83</v>
      </c>
      <c r="CG5">
        <v>84</v>
      </c>
      <c r="CH5">
        <v>85</v>
      </c>
      <c r="CI5">
        <v>86</v>
      </c>
      <c r="CJ5">
        <v>87</v>
      </c>
      <c r="CK5">
        <v>88</v>
      </c>
      <c r="CL5">
        <v>89</v>
      </c>
      <c r="CM5">
        <v>90</v>
      </c>
      <c r="CN5">
        <v>91</v>
      </c>
      <c r="CO5">
        <v>92</v>
      </c>
      <c r="CP5">
        <v>93</v>
      </c>
      <c r="CQ5">
        <v>94</v>
      </c>
      <c r="CR5">
        <v>95</v>
      </c>
      <c r="CS5">
        <v>96</v>
      </c>
      <c r="CT5">
        <v>97</v>
      </c>
      <c r="CU5">
        <v>98</v>
      </c>
      <c r="CV5">
        <v>99</v>
      </c>
      <c r="CW5">
        <v>100</v>
      </c>
      <c r="CX5">
        <v>101</v>
      </c>
      <c r="CY5">
        <v>102</v>
      </c>
      <c r="CZ5">
        <v>103</v>
      </c>
      <c r="DA5">
        <v>104</v>
      </c>
      <c r="DB5">
        <v>105</v>
      </c>
      <c r="DC5">
        <v>106</v>
      </c>
      <c r="DD5">
        <v>107</v>
      </c>
      <c r="DE5">
        <v>108</v>
      </c>
      <c r="DF5">
        <v>109</v>
      </c>
      <c r="DG5">
        <v>110</v>
      </c>
      <c r="DH5">
        <v>111</v>
      </c>
      <c r="DI5">
        <v>112</v>
      </c>
      <c r="DJ5">
        <v>113</v>
      </c>
      <c r="DK5">
        <v>114</v>
      </c>
      <c r="DL5">
        <v>115</v>
      </c>
      <c r="DM5">
        <v>116</v>
      </c>
      <c r="DN5">
        <v>117</v>
      </c>
      <c r="DO5">
        <v>118</v>
      </c>
      <c r="DP5">
        <v>119</v>
      </c>
      <c r="DQ5">
        <v>120</v>
      </c>
      <c r="DR5">
        <v>121</v>
      </c>
      <c r="DS5">
        <v>122</v>
      </c>
      <c r="DT5">
        <v>123</v>
      </c>
      <c r="DU5">
        <v>124</v>
      </c>
      <c r="DV5">
        <v>125</v>
      </c>
      <c r="DW5">
        <v>126</v>
      </c>
      <c r="DX5">
        <v>127</v>
      </c>
      <c r="DY5">
        <v>128</v>
      </c>
      <c r="DZ5">
        <v>129</v>
      </c>
      <c r="EA5">
        <v>130</v>
      </c>
      <c r="EB5">
        <v>131</v>
      </c>
      <c r="EC5">
        <v>132</v>
      </c>
      <c r="ED5">
        <v>133</v>
      </c>
      <c r="EE5">
        <v>134</v>
      </c>
      <c r="EF5">
        <v>135</v>
      </c>
      <c r="EG5">
        <v>136</v>
      </c>
      <c r="EH5">
        <v>137</v>
      </c>
      <c r="EI5">
        <v>138</v>
      </c>
      <c r="EJ5">
        <v>139</v>
      </c>
      <c r="EK5">
        <v>140</v>
      </c>
      <c r="EL5">
        <v>141</v>
      </c>
      <c r="EM5">
        <v>142</v>
      </c>
      <c r="EN5">
        <v>143</v>
      </c>
      <c r="EO5">
        <v>144</v>
      </c>
      <c r="EP5">
        <v>145</v>
      </c>
      <c r="EQ5">
        <v>146</v>
      </c>
      <c r="ER5">
        <v>147</v>
      </c>
      <c r="ES5">
        <v>148</v>
      </c>
      <c r="ET5">
        <v>149</v>
      </c>
      <c r="EU5">
        <v>150</v>
      </c>
      <c r="EV5">
        <v>151</v>
      </c>
      <c r="EW5">
        <v>152</v>
      </c>
      <c r="EX5">
        <v>153</v>
      </c>
      <c r="EY5">
        <v>154</v>
      </c>
      <c r="EZ5">
        <v>155</v>
      </c>
      <c r="FA5">
        <v>156</v>
      </c>
      <c r="FB5">
        <v>157</v>
      </c>
      <c r="FC5">
        <v>158</v>
      </c>
      <c r="FD5">
        <v>159</v>
      </c>
      <c r="FE5">
        <v>160</v>
      </c>
      <c r="FF5">
        <v>161</v>
      </c>
      <c r="FG5">
        <v>162</v>
      </c>
      <c r="FH5">
        <v>163</v>
      </c>
      <c r="FI5">
        <v>164</v>
      </c>
      <c r="FJ5">
        <v>165</v>
      </c>
      <c r="FK5">
        <v>166</v>
      </c>
      <c r="FL5">
        <v>167</v>
      </c>
      <c r="FM5">
        <v>168</v>
      </c>
      <c r="FN5">
        <v>169</v>
      </c>
      <c r="FO5">
        <v>170</v>
      </c>
      <c r="FP5">
        <v>171</v>
      </c>
      <c r="FQ5">
        <v>172</v>
      </c>
      <c r="FR5">
        <v>173</v>
      </c>
      <c r="FS5">
        <v>174</v>
      </c>
      <c r="FT5">
        <v>175</v>
      </c>
      <c r="FU5">
        <v>176</v>
      </c>
      <c r="FV5">
        <v>177</v>
      </c>
      <c r="FW5">
        <v>178</v>
      </c>
      <c r="FX5">
        <v>179</v>
      </c>
      <c r="FY5">
        <v>180</v>
      </c>
      <c r="FZ5">
        <v>181</v>
      </c>
      <c r="GA5">
        <v>182</v>
      </c>
      <c r="GB5">
        <v>183</v>
      </c>
      <c r="GC5">
        <v>184</v>
      </c>
      <c r="GD5">
        <v>185</v>
      </c>
      <c r="GE5">
        <v>186</v>
      </c>
      <c r="GF5">
        <v>187</v>
      </c>
      <c r="GG5">
        <v>188</v>
      </c>
      <c r="GH5">
        <v>189</v>
      </c>
      <c r="GI5">
        <v>190</v>
      </c>
      <c r="GJ5">
        <v>191</v>
      </c>
      <c r="GK5">
        <v>192</v>
      </c>
      <c r="GL5">
        <v>193</v>
      </c>
      <c r="GM5">
        <v>194</v>
      </c>
      <c r="GN5">
        <v>195</v>
      </c>
      <c r="GO5">
        <v>196</v>
      </c>
      <c r="GP5">
        <v>197</v>
      </c>
      <c r="GQ5">
        <v>198</v>
      </c>
      <c r="GR5">
        <v>199</v>
      </c>
      <c r="GS5">
        <v>200</v>
      </c>
      <c r="GT5">
        <v>201</v>
      </c>
      <c r="GU5">
        <v>202</v>
      </c>
      <c r="GV5">
        <v>203</v>
      </c>
      <c r="GW5">
        <v>204</v>
      </c>
      <c r="GX5">
        <v>205</v>
      </c>
      <c r="GY5">
        <v>206</v>
      </c>
      <c r="GZ5">
        <v>207</v>
      </c>
      <c r="HA5">
        <v>208</v>
      </c>
      <c r="HB5">
        <v>209</v>
      </c>
      <c r="HC5">
        <v>210</v>
      </c>
      <c r="HD5">
        <v>211</v>
      </c>
      <c r="HE5">
        <v>1</v>
      </c>
      <c r="HF5">
        <v>2</v>
      </c>
      <c r="HG5">
        <v>3</v>
      </c>
      <c r="HH5">
        <v>4</v>
      </c>
      <c r="HI5">
        <v>5</v>
      </c>
      <c r="HJ5">
        <v>6</v>
      </c>
      <c r="HK5">
        <v>7</v>
      </c>
      <c r="HL5">
        <v>8</v>
      </c>
      <c r="HM5">
        <v>9</v>
      </c>
      <c r="HN5">
        <v>10</v>
      </c>
      <c r="HO5">
        <v>11</v>
      </c>
      <c r="HP5">
        <v>12</v>
      </c>
      <c r="HQ5">
        <v>13</v>
      </c>
      <c r="HR5">
        <v>14</v>
      </c>
      <c r="HS5">
        <v>15</v>
      </c>
      <c r="HT5">
        <v>16</v>
      </c>
      <c r="HU5">
        <v>17</v>
      </c>
      <c r="HV5">
        <v>18</v>
      </c>
      <c r="HW5">
        <v>19</v>
      </c>
      <c r="HX5">
        <v>20</v>
      </c>
      <c r="HY5">
        <v>21</v>
      </c>
      <c r="HZ5">
        <v>22</v>
      </c>
      <c r="IA5">
        <v>23</v>
      </c>
      <c r="IB5">
        <v>24</v>
      </c>
      <c r="IC5">
        <v>25</v>
      </c>
      <c r="ID5">
        <v>26</v>
      </c>
      <c r="IE5">
        <v>27</v>
      </c>
      <c r="IF5">
        <v>28</v>
      </c>
      <c r="IG5">
        <v>29</v>
      </c>
      <c r="IH5">
        <v>30</v>
      </c>
      <c r="II5">
        <v>31</v>
      </c>
      <c r="IJ5">
        <v>32</v>
      </c>
      <c r="IK5">
        <v>33</v>
      </c>
      <c r="IL5">
        <v>34</v>
      </c>
      <c r="IM5">
        <v>35</v>
      </c>
      <c r="IN5">
        <v>36</v>
      </c>
      <c r="IO5">
        <v>37</v>
      </c>
      <c r="IP5">
        <v>38</v>
      </c>
      <c r="IQ5">
        <v>39</v>
      </c>
      <c r="IR5">
        <v>40</v>
      </c>
      <c r="IS5">
        <v>41</v>
      </c>
      <c r="IT5">
        <v>42</v>
      </c>
      <c r="IU5">
        <v>43</v>
      </c>
      <c r="IV5">
        <v>44</v>
      </c>
      <c r="IW5">
        <v>45</v>
      </c>
      <c r="IX5">
        <v>46</v>
      </c>
      <c r="IY5">
        <v>47</v>
      </c>
      <c r="IZ5">
        <v>48</v>
      </c>
      <c r="JA5">
        <v>49</v>
      </c>
      <c r="JB5">
        <v>50</v>
      </c>
      <c r="JC5">
        <v>51</v>
      </c>
      <c r="JD5">
        <v>52</v>
      </c>
      <c r="JE5">
        <v>53</v>
      </c>
      <c r="JF5">
        <v>54</v>
      </c>
      <c r="JG5">
        <v>55</v>
      </c>
      <c r="JH5">
        <v>56</v>
      </c>
      <c r="JI5">
        <v>57</v>
      </c>
      <c r="JJ5">
        <v>58</v>
      </c>
      <c r="JK5">
        <v>59</v>
      </c>
      <c r="JL5">
        <v>60</v>
      </c>
      <c r="JM5">
        <v>61</v>
      </c>
      <c r="JN5">
        <v>62</v>
      </c>
      <c r="JO5">
        <v>63</v>
      </c>
      <c r="JP5">
        <v>64</v>
      </c>
      <c r="JQ5">
        <v>65</v>
      </c>
      <c r="JR5">
        <v>66</v>
      </c>
      <c r="JS5">
        <v>67</v>
      </c>
      <c r="JT5">
        <v>68</v>
      </c>
      <c r="JU5">
        <v>69</v>
      </c>
      <c r="JV5">
        <v>70</v>
      </c>
      <c r="JW5">
        <v>71</v>
      </c>
      <c r="JX5">
        <v>72</v>
      </c>
      <c r="JY5">
        <v>73</v>
      </c>
      <c r="JZ5">
        <v>74</v>
      </c>
      <c r="KA5">
        <v>75</v>
      </c>
      <c r="KB5">
        <v>76</v>
      </c>
      <c r="KC5">
        <v>77</v>
      </c>
      <c r="KD5">
        <v>78</v>
      </c>
      <c r="KE5">
        <v>79</v>
      </c>
      <c r="KF5">
        <v>80</v>
      </c>
      <c r="KG5">
        <v>81</v>
      </c>
      <c r="KH5">
        <v>82</v>
      </c>
      <c r="KI5">
        <v>83</v>
      </c>
      <c r="KJ5">
        <v>84</v>
      </c>
      <c r="KK5">
        <v>85</v>
      </c>
      <c r="KL5">
        <v>86</v>
      </c>
      <c r="KM5">
        <v>87</v>
      </c>
      <c r="KN5">
        <v>88</v>
      </c>
      <c r="KO5">
        <v>89</v>
      </c>
      <c r="KP5">
        <v>90</v>
      </c>
      <c r="KQ5">
        <v>91</v>
      </c>
      <c r="KR5">
        <v>92</v>
      </c>
      <c r="KS5">
        <v>93</v>
      </c>
      <c r="KT5">
        <v>94</v>
      </c>
      <c r="KU5">
        <v>95</v>
      </c>
      <c r="KV5">
        <v>96</v>
      </c>
      <c r="KW5">
        <v>97</v>
      </c>
      <c r="KX5">
        <v>98</v>
      </c>
      <c r="KY5">
        <v>99</v>
      </c>
      <c r="KZ5">
        <v>100</v>
      </c>
      <c r="LA5">
        <v>101</v>
      </c>
      <c r="LB5">
        <v>102</v>
      </c>
      <c r="LC5">
        <v>103</v>
      </c>
      <c r="LD5">
        <v>104</v>
      </c>
      <c r="LE5">
        <v>105</v>
      </c>
      <c r="LF5">
        <v>106</v>
      </c>
      <c r="LG5">
        <v>107</v>
      </c>
      <c r="LH5">
        <v>108</v>
      </c>
      <c r="LI5">
        <v>109</v>
      </c>
      <c r="LJ5">
        <v>110</v>
      </c>
      <c r="LK5">
        <v>111</v>
      </c>
      <c r="LL5">
        <v>112</v>
      </c>
      <c r="LM5">
        <v>113</v>
      </c>
      <c r="LN5">
        <v>114</v>
      </c>
      <c r="LO5">
        <v>115</v>
      </c>
      <c r="LP5">
        <v>116</v>
      </c>
      <c r="LQ5">
        <v>117</v>
      </c>
      <c r="LR5">
        <v>118</v>
      </c>
      <c r="LS5">
        <v>119</v>
      </c>
      <c r="LT5">
        <v>120</v>
      </c>
      <c r="LU5">
        <v>121</v>
      </c>
      <c r="LV5">
        <v>122</v>
      </c>
      <c r="LW5">
        <v>123</v>
      </c>
      <c r="LX5">
        <v>124</v>
      </c>
      <c r="LY5">
        <v>125</v>
      </c>
      <c r="LZ5">
        <v>126</v>
      </c>
      <c r="MA5">
        <v>127</v>
      </c>
      <c r="MB5">
        <v>128</v>
      </c>
      <c r="MC5">
        <v>129</v>
      </c>
      <c r="MD5">
        <v>130</v>
      </c>
      <c r="ME5">
        <v>131</v>
      </c>
      <c r="MF5">
        <v>132</v>
      </c>
      <c r="MG5">
        <v>133</v>
      </c>
      <c r="MH5">
        <v>134</v>
      </c>
      <c r="MI5">
        <v>135</v>
      </c>
      <c r="MJ5">
        <v>136</v>
      </c>
      <c r="MK5">
        <v>137</v>
      </c>
      <c r="ML5">
        <v>138</v>
      </c>
      <c r="MM5">
        <v>139</v>
      </c>
      <c r="MN5">
        <v>140</v>
      </c>
      <c r="MO5">
        <v>141</v>
      </c>
      <c r="MP5">
        <v>142</v>
      </c>
      <c r="MQ5">
        <v>143</v>
      </c>
      <c r="MR5">
        <v>144</v>
      </c>
      <c r="MS5">
        <v>145</v>
      </c>
      <c r="MT5">
        <v>146</v>
      </c>
      <c r="MU5">
        <v>147</v>
      </c>
      <c r="MV5">
        <v>148</v>
      </c>
      <c r="MW5">
        <v>149</v>
      </c>
      <c r="MX5">
        <v>150</v>
      </c>
      <c r="MY5">
        <v>151</v>
      </c>
      <c r="MZ5">
        <v>152</v>
      </c>
      <c r="NA5">
        <v>153</v>
      </c>
      <c r="NB5">
        <v>154</v>
      </c>
      <c r="NC5">
        <v>155</v>
      </c>
      <c r="ND5">
        <v>156</v>
      </c>
      <c r="NE5">
        <v>157</v>
      </c>
      <c r="NF5">
        <v>158</v>
      </c>
      <c r="NG5">
        <v>159</v>
      </c>
      <c r="NH5">
        <v>160</v>
      </c>
      <c r="NI5">
        <v>161</v>
      </c>
      <c r="NJ5">
        <v>162</v>
      </c>
      <c r="NK5">
        <v>163</v>
      </c>
      <c r="NL5">
        <v>164</v>
      </c>
      <c r="NM5">
        <v>165</v>
      </c>
      <c r="NN5">
        <v>166</v>
      </c>
      <c r="NO5">
        <v>167</v>
      </c>
      <c r="NP5">
        <v>168</v>
      </c>
      <c r="NQ5">
        <v>169</v>
      </c>
      <c r="NR5">
        <v>170</v>
      </c>
      <c r="NS5">
        <v>171</v>
      </c>
      <c r="NT5">
        <v>172</v>
      </c>
      <c r="NU5">
        <v>173</v>
      </c>
      <c r="NV5">
        <v>174</v>
      </c>
      <c r="NW5">
        <v>175</v>
      </c>
      <c r="NX5">
        <v>176</v>
      </c>
      <c r="NY5">
        <v>177</v>
      </c>
      <c r="NZ5">
        <v>178</v>
      </c>
      <c r="OA5">
        <v>179</v>
      </c>
      <c r="OB5">
        <v>180</v>
      </c>
      <c r="OC5">
        <v>181</v>
      </c>
      <c r="OD5">
        <v>182</v>
      </c>
      <c r="OE5">
        <v>183</v>
      </c>
      <c r="OF5">
        <v>184</v>
      </c>
      <c r="OG5">
        <v>185</v>
      </c>
      <c r="OH5">
        <v>186</v>
      </c>
      <c r="OI5">
        <v>187</v>
      </c>
      <c r="OJ5">
        <v>188</v>
      </c>
      <c r="OK5">
        <v>189</v>
      </c>
      <c r="OL5">
        <v>190</v>
      </c>
      <c r="OM5">
        <v>191</v>
      </c>
      <c r="ON5">
        <v>192</v>
      </c>
      <c r="OO5">
        <v>193</v>
      </c>
      <c r="OP5">
        <v>194</v>
      </c>
      <c r="OQ5">
        <v>195</v>
      </c>
      <c r="OR5">
        <v>196</v>
      </c>
      <c r="OS5">
        <v>197</v>
      </c>
      <c r="OT5">
        <v>198</v>
      </c>
      <c r="OU5">
        <v>199</v>
      </c>
      <c r="OV5">
        <v>200</v>
      </c>
      <c r="OW5">
        <v>201</v>
      </c>
      <c r="OX5">
        <v>202</v>
      </c>
      <c r="OY5">
        <v>203</v>
      </c>
      <c r="OZ5">
        <v>204</v>
      </c>
      <c r="PA5">
        <v>205</v>
      </c>
      <c r="PB5">
        <v>206</v>
      </c>
      <c r="PC5">
        <v>207</v>
      </c>
      <c r="PD5">
        <v>208</v>
      </c>
      <c r="PE5">
        <v>209</v>
      </c>
      <c r="PF5">
        <v>210</v>
      </c>
      <c r="PG5">
        <v>211</v>
      </c>
    </row>
    <row r="6" spans="1:425" x14ac:dyDescent="0.2">
      <c r="A6" s="3" t="s">
        <v>50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1564.61</v>
      </c>
      <c r="V6" s="1"/>
      <c r="W6" s="1"/>
      <c r="X6" s="1"/>
      <c r="Y6" s="1">
        <v>1559.54</v>
      </c>
      <c r="Z6" s="1"/>
      <c r="AA6" s="1"/>
      <c r="AB6" s="1"/>
      <c r="AC6" s="1">
        <v>1530.3</v>
      </c>
      <c r="AD6" s="1"/>
      <c r="AE6" s="1"/>
      <c r="AF6" s="1"/>
      <c r="AG6" s="1"/>
      <c r="AH6" s="1"/>
      <c r="AI6" s="1"/>
      <c r="AJ6" s="1"/>
      <c r="AK6" s="1"/>
      <c r="AL6" s="1"/>
      <c r="AM6" s="1">
        <v>1488.72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>
        <v>1439.89</v>
      </c>
      <c r="AZ6" s="1">
        <v>1437.78</v>
      </c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>
        <v>1343.01</v>
      </c>
      <c r="BR6" s="1"/>
      <c r="BS6" s="1">
        <v>1337.57</v>
      </c>
      <c r="BT6" s="1"/>
      <c r="BU6" s="1"/>
      <c r="BV6" s="1"/>
      <c r="BW6" s="1"/>
      <c r="BX6" s="1">
        <v>1320.29</v>
      </c>
      <c r="BY6" s="1"/>
      <c r="BZ6" s="1">
        <v>1309.98</v>
      </c>
      <c r="CA6" s="1"/>
      <c r="CB6" s="1">
        <v>1305.06</v>
      </c>
      <c r="CC6" s="1"/>
      <c r="CD6" s="1"/>
      <c r="CE6" s="1"/>
      <c r="CF6" s="1"/>
      <c r="CG6" s="1">
        <v>1289.99</v>
      </c>
      <c r="CH6" s="1">
        <v>1280.6400000000001</v>
      </c>
      <c r="CI6" s="1"/>
      <c r="CJ6" s="1"/>
      <c r="CK6" s="1"/>
      <c r="CL6" s="1"/>
      <c r="CM6" s="1">
        <v>1255.92</v>
      </c>
      <c r="CN6" s="1"/>
      <c r="CO6" s="1"/>
      <c r="CP6" s="1"/>
      <c r="CQ6" s="1">
        <v>1233.72</v>
      </c>
      <c r="CR6" s="1">
        <v>1230.22</v>
      </c>
      <c r="CS6" s="1">
        <v>1226.6500000000001</v>
      </c>
      <c r="CT6" s="1"/>
      <c r="CU6" s="1"/>
      <c r="CV6" s="1">
        <v>1211.71</v>
      </c>
      <c r="CW6" s="1"/>
      <c r="CX6" s="1"/>
      <c r="CY6" s="1"/>
      <c r="CZ6" s="1"/>
      <c r="DA6" s="1"/>
      <c r="DB6" s="1"/>
      <c r="DC6" s="1">
        <v>1192.0899999999999</v>
      </c>
      <c r="DD6" s="1"/>
      <c r="DE6" s="1">
        <v>1185.7</v>
      </c>
      <c r="DF6" s="1"/>
      <c r="DG6" s="1"/>
      <c r="DH6" s="1">
        <v>1174.92</v>
      </c>
      <c r="DI6" s="1">
        <v>1169.96</v>
      </c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>
        <v>1115.1300000000001</v>
      </c>
      <c r="EE6" s="1"/>
      <c r="EF6" s="1">
        <v>1100.47</v>
      </c>
      <c r="EG6" s="1"/>
      <c r="EH6" s="1"/>
      <c r="EI6" s="1"/>
      <c r="EJ6" s="1"/>
      <c r="EK6" s="1"/>
      <c r="EL6" s="1"/>
      <c r="EM6" s="1"/>
      <c r="EN6" s="1"/>
      <c r="EO6" s="1"/>
      <c r="EP6" s="1">
        <v>1062.3900000000001</v>
      </c>
      <c r="EQ6" s="1">
        <v>1062.32</v>
      </c>
      <c r="ER6" s="1"/>
      <c r="ES6" s="1"/>
      <c r="ET6" s="1">
        <v>1053.4100000000001</v>
      </c>
      <c r="EU6" s="1"/>
      <c r="EV6" s="1"/>
      <c r="EW6" s="1">
        <v>1033.9000000000001</v>
      </c>
      <c r="EX6" s="1"/>
      <c r="EY6" s="1">
        <v>1026.0899999999999</v>
      </c>
      <c r="EZ6" s="1">
        <v>1023.52</v>
      </c>
      <c r="FA6" s="1">
        <v>1023.04</v>
      </c>
      <c r="FB6" s="1">
        <v>1017.78</v>
      </c>
      <c r="FC6" s="1">
        <v>1007.89</v>
      </c>
      <c r="FD6" s="1"/>
      <c r="FE6" s="1">
        <v>1003.5</v>
      </c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>
        <v>954.86</v>
      </c>
      <c r="FU6" s="1"/>
      <c r="FV6" s="1">
        <v>948.62</v>
      </c>
      <c r="FW6" s="1"/>
      <c r="FX6" s="1"/>
      <c r="FY6" s="1"/>
      <c r="FZ6" s="1"/>
      <c r="GA6" s="1">
        <v>922.1</v>
      </c>
      <c r="GB6" s="1">
        <v>913.55</v>
      </c>
      <c r="GC6" s="1"/>
      <c r="GD6" s="1">
        <v>910.96</v>
      </c>
      <c r="GE6" s="1"/>
      <c r="GF6" s="1">
        <v>905.51</v>
      </c>
      <c r="GG6" s="1"/>
      <c r="GH6" s="1"/>
      <c r="GI6" s="1">
        <v>898.41</v>
      </c>
      <c r="GJ6" s="1"/>
      <c r="GK6" s="1">
        <v>884.45</v>
      </c>
      <c r="GL6" s="1"/>
      <c r="GM6" s="1">
        <v>866.81</v>
      </c>
      <c r="GN6" s="1"/>
      <c r="GO6" s="1"/>
      <c r="GP6" s="1"/>
      <c r="GQ6" s="1">
        <v>860.06</v>
      </c>
      <c r="GR6" s="1"/>
      <c r="GS6" s="1"/>
      <c r="GT6" s="1"/>
      <c r="GU6" s="1"/>
      <c r="GV6" s="1"/>
      <c r="GW6" s="1"/>
      <c r="GX6" s="1">
        <v>838.33</v>
      </c>
      <c r="GY6" s="1"/>
      <c r="GZ6" s="1">
        <v>825.25</v>
      </c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>
        <v>1558.64</v>
      </c>
      <c r="HY6" s="1"/>
      <c r="HZ6" s="1"/>
      <c r="IA6" s="1"/>
      <c r="IB6" s="1">
        <v>1554.69</v>
      </c>
      <c r="IC6" s="1"/>
      <c r="ID6" s="1"/>
      <c r="IE6" s="1"/>
      <c r="IF6" s="1">
        <v>1526.02</v>
      </c>
      <c r="IG6" s="1"/>
      <c r="IH6" s="1"/>
      <c r="II6" s="1"/>
      <c r="IJ6" s="1"/>
      <c r="IK6" s="1"/>
      <c r="IL6" s="1"/>
      <c r="IM6" s="1"/>
      <c r="IN6" s="1"/>
      <c r="IO6" s="1"/>
      <c r="IP6" s="1">
        <v>1483.73</v>
      </c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>
        <v>1441.97</v>
      </c>
      <c r="JC6" s="1">
        <v>1435.74</v>
      </c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>
        <v>1338.91</v>
      </c>
      <c r="JU6" s="1"/>
      <c r="JV6" s="1">
        <v>1346.09</v>
      </c>
      <c r="JW6" s="1"/>
      <c r="JX6" s="1"/>
      <c r="JY6" s="1"/>
      <c r="JZ6" s="1"/>
      <c r="KA6" s="1">
        <v>1323.03</v>
      </c>
      <c r="KB6" s="1"/>
      <c r="KC6" s="1">
        <v>1306.6300000000001</v>
      </c>
      <c r="KD6" s="1"/>
      <c r="KE6" s="1">
        <v>1305.06</v>
      </c>
      <c r="KF6" s="1"/>
      <c r="KG6" s="1"/>
      <c r="KH6" s="1"/>
      <c r="KI6" s="1"/>
      <c r="KJ6" s="1">
        <v>1279.74</v>
      </c>
      <c r="KK6" s="1">
        <v>1289.25</v>
      </c>
      <c r="KL6" s="1"/>
      <c r="KM6" s="1"/>
      <c r="KN6" s="1"/>
      <c r="KO6" s="1"/>
      <c r="KP6" s="1">
        <v>1265.03</v>
      </c>
      <c r="KQ6" s="1"/>
      <c r="KR6" s="1"/>
      <c r="KS6" s="1"/>
      <c r="KT6" s="1">
        <v>1233.72</v>
      </c>
      <c r="KU6" s="1">
        <v>1232.9100000000001</v>
      </c>
      <c r="KV6" s="1">
        <v>1218.8399999999999</v>
      </c>
      <c r="KW6" s="1"/>
      <c r="KX6" s="1"/>
      <c r="KY6" s="1">
        <v>1211.71</v>
      </c>
      <c r="KZ6" s="1"/>
      <c r="LA6" s="1"/>
      <c r="LB6" s="1"/>
      <c r="LC6" s="1"/>
      <c r="LD6" s="1"/>
      <c r="LE6" s="1"/>
      <c r="LF6" s="1">
        <v>1198.6500000000001</v>
      </c>
      <c r="LG6" s="1"/>
      <c r="LH6" s="1">
        <v>1179.0999999999999</v>
      </c>
      <c r="LI6" s="1"/>
      <c r="LJ6" s="1"/>
      <c r="LK6" s="1">
        <v>1170.69</v>
      </c>
      <c r="LL6" s="1">
        <v>1169.96</v>
      </c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>
        <v>1115.1300000000001</v>
      </c>
      <c r="MH6" s="1"/>
      <c r="MI6" s="1">
        <v>1100.47</v>
      </c>
      <c r="MJ6" s="1"/>
      <c r="MK6" s="1"/>
      <c r="ML6" s="1"/>
      <c r="MM6" s="1"/>
      <c r="MN6" s="1"/>
      <c r="MO6" s="1"/>
      <c r="MP6" s="1"/>
      <c r="MQ6" s="1"/>
      <c r="MR6" s="1"/>
      <c r="MS6" s="1">
        <v>1058.3699999999999</v>
      </c>
      <c r="MT6" s="1">
        <v>1057.5899999999999</v>
      </c>
      <c r="MU6" s="1"/>
      <c r="MV6" s="1"/>
      <c r="MW6" s="1">
        <v>1053.4100000000001</v>
      </c>
      <c r="MX6" s="1"/>
      <c r="MY6" s="1"/>
      <c r="MZ6" s="1">
        <v>1019.19</v>
      </c>
      <c r="NA6" s="1"/>
      <c r="NB6" s="1">
        <v>1018.25</v>
      </c>
      <c r="NC6" s="1">
        <v>1023.52</v>
      </c>
      <c r="ND6" s="1">
        <v>1023.04</v>
      </c>
      <c r="NE6" s="1">
        <v>1017.78</v>
      </c>
      <c r="NF6" s="1">
        <v>1011.91</v>
      </c>
      <c r="NG6" s="1"/>
      <c r="NH6" s="1">
        <v>1004.75</v>
      </c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>
        <v>950.45</v>
      </c>
      <c r="NX6" s="1"/>
      <c r="NY6" s="1">
        <v>954.3</v>
      </c>
      <c r="NZ6" s="1"/>
      <c r="OA6" s="1"/>
      <c r="OB6" s="1"/>
      <c r="OC6" s="1"/>
      <c r="OD6" s="1">
        <v>922.1</v>
      </c>
      <c r="OE6" s="1">
        <v>913.55</v>
      </c>
      <c r="OF6" s="1"/>
      <c r="OG6" s="1">
        <v>910.96</v>
      </c>
      <c r="OH6" s="1"/>
      <c r="OI6" s="1">
        <v>914.66</v>
      </c>
      <c r="OJ6" s="1"/>
      <c r="OK6" s="1"/>
      <c r="OL6" s="1">
        <v>897.1</v>
      </c>
      <c r="OM6" s="1"/>
      <c r="ON6" s="1">
        <v>883.18</v>
      </c>
      <c r="OO6" s="1"/>
      <c r="OP6" s="1">
        <v>866.81</v>
      </c>
      <c r="OQ6" s="1"/>
      <c r="OR6" s="1"/>
      <c r="OS6" s="1"/>
      <c r="OT6" s="1">
        <v>860.06</v>
      </c>
      <c r="OU6" s="1"/>
      <c r="OV6" s="1"/>
      <c r="OW6" s="1"/>
      <c r="OX6" s="1"/>
      <c r="OY6" s="1"/>
      <c r="OZ6" s="1"/>
      <c r="PA6" s="1">
        <v>838.33</v>
      </c>
      <c r="PB6" s="1"/>
      <c r="PC6" s="1">
        <v>825.25</v>
      </c>
      <c r="PD6" s="1"/>
      <c r="PE6" s="1"/>
      <c r="PF6" s="1"/>
      <c r="PG6" s="1"/>
      <c r="PH6" s="1">
        <v>52346.62</v>
      </c>
      <c r="PI6" s="1">
        <v>52310.270000000004</v>
      </c>
    </row>
    <row r="7" spans="1:425" x14ac:dyDescent="0.2">
      <c r="A7" s="3" t="s">
        <v>45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>
        <v>1584.38</v>
      </c>
      <c r="T7" s="1"/>
      <c r="U7" s="1"/>
      <c r="V7" s="1"/>
      <c r="W7" s="1">
        <v>1563.5</v>
      </c>
      <c r="X7" s="1"/>
      <c r="Y7" s="1"/>
      <c r="Z7" s="1"/>
      <c r="AA7" s="1"/>
      <c r="AB7" s="1"/>
      <c r="AC7" s="1"/>
      <c r="AD7" s="1"/>
      <c r="AE7" s="1">
        <v>1507.54</v>
      </c>
      <c r="AF7" s="1"/>
      <c r="AG7" s="1">
        <v>1498.47</v>
      </c>
      <c r="AH7" s="1"/>
      <c r="AI7" s="1"/>
      <c r="AJ7" s="1"/>
      <c r="AK7" s="1"/>
      <c r="AL7" s="1">
        <v>1489.1</v>
      </c>
      <c r="AM7" s="1"/>
      <c r="AN7" s="1">
        <v>1486.44</v>
      </c>
      <c r="AO7" s="1"/>
      <c r="AP7" s="1"/>
      <c r="AQ7" s="1"/>
      <c r="AR7" s="1">
        <v>1471.44</v>
      </c>
      <c r="AS7" s="1"/>
      <c r="AT7" s="1"/>
      <c r="AU7" s="1">
        <v>1448.85</v>
      </c>
      <c r="AV7" s="1"/>
      <c r="AW7" s="1">
        <v>1443.06</v>
      </c>
      <c r="AX7" s="1"/>
      <c r="AY7" s="1"/>
      <c r="AZ7" s="1"/>
      <c r="BA7" s="1"/>
      <c r="BB7" s="1"/>
      <c r="BC7" s="1">
        <v>1432.25</v>
      </c>
      <c r="BD7" s="1"/>
      <c r="BE7" s="1"/>
      <c r="BF7" s="1"/>
      <c r="BG7" s="1"/>
      <c r="BH7" s="1"/>
      <c r="BI7" s="1"/>
      <c r="BJ7" s="1">
        <v>1393</v>
      </c>
      <c r="BK7" s="1"/>
      <c r="BL7" s="1"/>
      <c r="BM7" s="1"/>
      <c r="BN7" s="1"/>
      <c r="BO7" s="1"/>
      <c r="BP7" s="1">
        <v>1349.59</v>
      </c>
      <c r="BQ7" s="1"/>
      <c r="BR7" s="1"/>
      <c r="BS7" s="1"/>
      <c r="BT7" s="1">
        <v>1336.05</v>
      </c>
      <c r="BU7" s="1"/>
      <c r="BV7" s="1">
        <v>1333.92</v>
      </c>
      <c r="BW7" s="1"/>
      <c r="BX7" s="1"/>
      <c r="BY7" s="1"/>
      <c r="BZ7" s="1"/>
      <c r="CA7" s="1"/>
      <c r="CB7" s="1"/>
      <c r="CC7" s="1"/>
      <c r="CD7" s="1">
        <v>1301.8399999999999</v>
      </c>
      <c r="CE7" s="1"/>
      <c r="CF7" s="1">
        <v>1290.47</v>
      </c>
      <c r="CG7" s="1"/>
      <c r="CH7" s="1"/>
      <c r="CI7" s="1"/>
      <c r="CJ7" s="1"/>
      <c r="CK7" s="1">
        <v>1267.4100000000001</v>
      </c>
      <c r="CL7" s="1">
        <v>1260.69</v>
      </c>
      <c r="CM7" s="1"/>
      <c r="CN7" s="1">
        <v>1247.47</v>
      </c>
      <c r="CO7" s="1"/>
      <c r="CP7" s="1"/>
      <c r="CQ7" s="1"/>
      <c r="CR7" s="1"/>
      <c r="CS7" s="1"/>
      <c r="CT7" s="1"/>
      <c r="CU7" s="1">
        <v>1215.6600000000001</v>
      </c>
      <c r="CV7" s="1"/>
      <c r="CW7" s="1">
        <v>1208.79</v>
      </c>
      <c r="CX7" s="1">
        <v>1202.26</v>
      </c>
      <c r="CY7" s="1">
        <v>1200.74</v>
      </c>
      <c r="CZ7" s="1">
        <v>1197.58</v>
      </c>
      <c r="DA7" s="1"/>
      <c r="DB7" s="1"/>
      <c r="DC7" s="1"/>
      <c r="DD7" s="1"/>
      <c r="DE7" s="1"/>
      <c r="DF7" s="1"/>
      <c r="DG7" s="1"/>
      <c r="DH7" s="1"/>
      <c r="DI7" s="1"/>
      <c r="DJ7" s="1"/>
      <c r="DK7" s="1">
        <v>1165.22</v>
      </c>
      <c r="DL7" s="1">
        <v>1164.1300000000001</v>
      </c>
      <c r="DM7" s="1">
        <v>1160.71</v>
      </c>
      <c r="DN7" s="1">
        <v>1160.31</v>
      </c>
      <c r="DO7" s="1"/>
      <c r="DP7" s="1">
        <v>1155.9000000000001</v>
      </c>
      <c r="DQ7" s="1">
        <v>1154.25</v>
      </c>
      <c r="DR7" s="1">
        <v>1152.8</v>
      </c>
      <c r="DS7" s="1"/>
      <c r="DT7" s="1"/>
      <c r="DU7" s="1">
        <v>1144.97</v>
      </c>
      <c r="DV7" s="1">
        <v>1138.56</v>
      </c>
      <c r="DW7" s="1">
        <v>1137.47</v>
      </c>
      <c r="DX7" s="1">
        <v>1128.92</v>
      </c>
      <c r="DY7" s="1">
        <v>1127.3399999999999</v>
      </c>
      <c r="DZ7" s="1">
        <v>1123.18</v>
      </c>
      <c r="EA7" s="1">
        <v>1119.8900000000001</v>
      </c>
      <c r="EB7" s="1"/>
      <c r="EC7" s="1">
        <v>1116.97</v>
      </c>
      <c r="ED7" s="1"/>
      <c r="EE7" s="1"/>
      <c r="EF7" s="1"/>
      <c r="EG7" s="1"/>
      <c r="EH7" s="1">
        <v>1093.6600000000001</v>
      </c>
      <c r="EI7" s="1">
        <v>1091.19</v>
      </c>
      <c r="EJ7" s="1"/>
      <c r="EK7" s="1"/>
      <c r="EL7" s="1">
        <v>1076.26</v>
      </c>
      <c r="EM7" s="1"/>
      <c r="EN7" s="1">
        <v>1070.8900000000001</v>
      </c>
      <c r="EO7" s="1"/>
      <c r="EP7" s="1"/>
      <c r="EQ7" s="1"/>
      <c r="ER7" s="1">
        <v>1061.4000000000001</v>
      </c>
      <c r="ES7" s="1">
        <v>1056.46</v>
      </c>
      <c r="ET7" s="1"/>
      <c r="EU7" s="1">
        <v>1049.6600000000001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>
        <v>983.99</v>
      </c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>
        <v>932.02</v>
      </c>
      <c r="FZ7" s="1">
        <v>930.22</v>
      </c>
      <c r="GA7" s="1"/>
      <c r="GB7" s="1"/>
      <c r="GC7" s="1"/>
      <c r="GD7" s="1"/>
      <c r="GE7" s="1">
        <v>908.18</v>
      </c>
      <c r="GF7" s="1"/>
      <c r="GG7" s="1"/>
      <c r="GH7" s="1"/>
      <c r="GI7" s="1"/>
      <c r="GJ7" s="1"/>
      <c r="GK7" s="1"/>
      <c r="GL7" s="1">
        <v>875.05</v>
      </c>
      <c r="GM7" s="1"/>
      <c r="GN7" s="1"/>
      <c r="GO7" s="1"/>
      <c r="GP7" s="1"/>
      <c r="GQ7" s="1"/>
      <c r="GR7" s="1">
        <v>859.56</v>
      </c>
      <c r="GS7" s="1">
        <v>855.56</v>
      </c>
      <c r="GT7" s="1"/>
      <c r="GU7" s="1"/>
      <c r="GV7" s="1">
        <v>854.72</v>
      </c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>
        <v>1584.59</v>
      </c>
      <c r="HW7" s="1"/>
      <c r="HX7" s="1"/>
      <c r="HY7" s="1"/>
      <c r="HZ7" s="1">
        <v>1558.35</v>
      </c>
      <c r="IA7" s="1"/>
      <c r="IB7" s="1"/>
      <c r="IC7" s="1"/>
      <c r="ID7" s="1"/>
      <c r="IE7" s="1"/>
      <c r="IF7" s="1"/>
      <c r="IG7" s="1"/>
      <c r="IH7" s="1">
        <v>1507.86</v>
      </c>
      <c r="II7" s="1"/>
      <c r="IJ7" s="1">
        <v>1504.7</v>
      </c>
      <c r="IK7" s="1"/>
      <c r="IL7" s="1"/>
      <c r="IM7" s="1"/>
      <c r="IN7" s="1"/>
      <c r="IO7" s="1">
        <v>1480.59</v>
      </c>
      <c r="IP7" s="1"/>
      <c r="IQ7" s="1">
        <v>1482.63</v>
      </c>
      <c r="IR7" s="1"/>
      <c r="IS7" s="1"/>
      <c r="IT7" s="1"/>
      <c r="IU7" s="1">
        <v>1484.95</v>
      </c>
      <c r="IV7" s="1"/>
      <c r="IW7" s="1"/>
      <c r="IX7" s="1">
        <v>1442.88</v>
      </c>
      <c r="IY7" s="1"/>
      <c r="IZ7" s="1">
        <v>1435.91</v>
      </c>
      <c r="JA7" s="1"/>
      <c r="JB7" s="1"/>
      <c r="JC7" s="1"/>
      <c r="JD7" s="1"/>
      <c r="JE7" s="1"/>
      <c r="JF7" s="1">
        <v>1425.64</v>
      </c>
      <c r="JG7" s="1"/>
      <c r="JH7" s="1"/>
      <c r="JI7" s="1"/>
      <c r="JJ7" s="1"/>
      <c r="JK7" s="1"/>
      <c r="JL7" s="1"/>
      <c r="JM7" s="1">
        <v>1393.47</v>
      </c>
      <c r="JN7" s="1"/>
      <c r="JO7" s="1"/>
      <c r="JP7" s="1"/>
      <c r="JQ7" s="1"/>
      <c r="JR7" s="1"/>
      <c r="JS7" s="1">
        <v>1350.55</v>
      </c>
      <c r="JT7" s="1"/>
      <c r="JU7" s="1"/>
      <c r="JV7" s="1"/>
      <c r="JW7" s="1">
        <v>1331.46</v>
      </c>
      <c r="JX7" s="1"/>
      <c r="JY7" s="1">
        <v>1332.84</v>
      </c>
      <c r="JZ7" s="1"/>
      <c r="KA7" s="1"/>
      <c r="KB7" s="1"/>
      <c r="KC7" s="1"/>
      <c r="KD7" s="1"/>
      <c r="KE7" s="1"/>
      <c r="KF7" s="1"/>
      <c r="KG7" s="1">
        <v>1301.8399999999999</v>
      </c>
      <c r="KH7" s="1"/>
      <c r="KI7" s="1">
        <v>1294.8900000000001</v>
      </c>
      <c r="KJ7" s="1"/>
      <c r="KK7" s="1"/>
      <c r="KL7" s="1"/>
      <c r="KM7" s="1"/>
      <c r="KN7" s="1">
        <v>1270.8</v>
      </c>
      <c r="KO7" s="1">
        <v>1264.56</v>
      </c>
      <c r="KP7" s="1"/>
      <c r="KQ7" s="1">
        <v>1258.71</v>
      </c>
      <c r="KR7" s="1"/>
      <c r="KS7" s="1"/>
      <c r="KT7" s="1"/>
      <c r="KU7" s="1"/>
      <c r="KV7" s="1"/>
      <c r="KW7" s="1"/>
      <c r="KX7" s="1">
        <v>1215.33</v>
      </c>
      <c r="KY7" s="1"/>
      <c r="KZ7" s="1">
        <v>1215.0899999999999</v>
      </c>
      <c r="LA7" s="1">
        <v>1202.26</v>
      </c>
      <c r="LB7" s="1">
        <v>1193.78</v>
      </c>
      <c r="LC7" s="1">
        <v>1181.8599999999999</v>
      </c>
      <c r="LD7" s="1"/>
      <c r="LE7" s="1"/>
      <c r="LF7" s="1"/>
      <c r="LG7" s="1"/>
      <c r="LH7" s="1"/>
      <c r="LI7" s="1"/>
      <c r="LJ7" s="1"/>
      <c r="LK7" s="1"/>
      <c r="LL7" s="1"/>
      <c r="LM7" s="1"/>
      <c r="LN7" s="1">
        <v>1165.4100000000001</v>
      </c>
      <c r="LO7" s="1">
        <v>1164.1300000000001</v>
      </c>
      <c r="LP7" s="1">
        <v>1165.53</v>
      </c>
      <c r="LQ7" s="1">
        <v>1169.71</v>
      </c>
      <c r="LR7" s="1"/>
      <c r="LS7" s="1">
        <v>1149.08</v>
      </c>
      <c r="LT7" s="1">
        <v>1148.3599999999999</v>
      </c>
      <c r="LU7" s="1">
        <v>1155.23</v>
      </c>
      <c r="LV7" s="1"/>
      <c r="LW7" s="1"/>
      <c r="LX7" s="1">
        <v>1144.77</v>
      </c>
      <c r="LY7" s="1">
        <v>1138.56</v>
      </c>
      <c r="LZ7" s="1">
        <v>1137.47</v>
      </c>
      <c r="MA7" s="1">
        <v>1130.22</v>
      </c>
      <c r="MB7" s="1">
        <v>1124.9100000000001</v>
      </c>
      <c r="MC7" s="1">
        <v>1127.44</v>
      </c>
      <c r="MD7" s="1">
        <v>1121.9100000000001</v>
      </c>
      <c r="ME7" s="1"/>
      <c r="MF7" s="1">
        <v>1116.06</v>
      </c>
      <c r="MG7" s="1"/>
      <c r="MH7" s="1"/>
      <c r="MI7" s="1"/>
      <c r="MJ7" s="1"/>
      <c r="MK7" s="1">
        <v>1095.04</v>
      </c>
      <c r="ML7" s="1">
        <v>1088.27</v>
      </c>
      <c r="MM7" s="1"/>
      <c r="MN7" s="1"/>
      <c r="MO7" s="1">
        <v>1076.26</v>
      </c>
      <c r="MP7" s="1"/>
      <c r="MQ7" s="1">
        <v>1070.8900000000001</v>
      </c>
      <c r="MR7" s="1"/>
      <c r="MS7" s="1"/>
      <c r="MT7" s="1"/>
      <c r="MU7" s="1">
        <v>1061.4000000000001</v>
      </c>
      <c r="MV7" s="1">
        <v>1060.17</v>
      </c>
      <c r="MW7" s="1"/>
      <c r="MX7" s="1">
        <v>1051.25</v>
      </c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>
        <v>983.99</v>
      </c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>
        <v>932.02</v>
      </c>
      <c r="OC7" s="1">
        <v>931.98</v>
      </c>
      <c r="OD7" s="1"/>
      <c r="OE7" s="1"/>
      <c r="OF7" s="1"/>
      <c r="OG7" s="1"/>
      <c r="OH7" s="1">
        <v>908.18</v>
      </c>
      <c r="OI7" s="1"/>
      <c r="OJ7" s="1"/>
      <c r="OK7" s="1"/>
      <c r="OL7" s="1"/>
      <c r="OM7" s="1"/>
      <c r="ON7" s="1"/>
      <c r="OO7" s="1">
        <v>877.84</v>
      </c>
      <c r="OP7" s="1"/>
      <c r="OQ7" s="1"/>
      <c r="OR7" s="1"/>
      <c r="OS7" s="1"/>
      <c r="OT7" s="1"/>
      <c r="OU7" s="1">
        <v>860.48</v>
      </c>
      <c r="OV7" s="1">
        <v>855.56</v>
      </c>
      <c r="OW7" s="1"/>
      <c r="OX7" s="1"/>
      <c r="OY7" s="1">
        <v>854.72</v>
      </c>
      <c r="OZ7" s="1"/>
      <c r="PA7" s="1"/>
      <c r="PB7" s="1"/>
      <c r="PC7" s="1"/>
      <c r="PD7" s="1"/>
      <c r="PE7" s="1"/>
      <c r="PF7" s="1"/>
      <c r="PG7" s="1"/>
      <c r="PH7" s="1">
        <v>64579.94</v>
      </c>
      <c r="PI7" s="1">
        <v>64582.38</v>
      </c>
    </row>
    <row r="8" spans="1:425" x14ac:dyDescent="0.2">
      <c r="A8" s="3" t="s">
        <v>35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>
        <v>1644.89</v>
      </c>
      <c r="O8" s="1"/>
      <c r="P8" s="1"/>
      <c r="Q8" s="1">
        <v>1627.48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>
        <v>1503.59</v>
      </c>
      <c r="AG8" s="1"/>
      <c r="AH8" s="1"/>
      <c r="AI8" s="1"/>
      <c r="AJ8" s="1"/>
      <c r="AK8" s="1"/>
      <c r="AL8" s="1"/>
      <c r="AM8" s="1"/>
      <c r="AN8" s="1"/>
      <c r="AO8" s="1"/>
      <c r="AP8" s="1">
        <v>1475</v>
      </c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>
        <v>1393.28</v>
      </c>
      <c r="BJ8" s="1"/>
      <c r="BK8" s="1"/>
      <c r="BL8" s="1"/>
      <c r="BM8" s="1">
        <v>1378.86</v>
      </c>
      <c r="BN8" s="1"/>
      <c r="BO8" s="1"/>
      <c r="BP8" s="1"/>
      <c r="BQ8" s="1"/>
      <c r="BR8" s="1"/>
      <c r="BS8" s="1"/>
      <c r="BT8" s="1"/>
      <c r="BU8" s="1"/>
      <c r="BV8" s="1"/>
      <c r="BW8" s="1">
        <v>1330.51</v>
      </c>
      <c r="BX8" s="1"/>
      <c r="BY8" s="1"/>
      <c r="BZ8" s="1"/>
      <c r="CA8" s="1"/>
      <c r="CB8" s="1"/>
      <c r="CC8" s="1">
        <v>1301.98</v>
      </c>
      <c r="CD8" s="1"/>
      <c r="CE8" s="1"/>
      <c r="CF8" s="1"/>
      <c r="CG8" s="1"/>
      <c r="CH8" s="1"/>
      <c r="CI8" s="1">
        <v>1278.6400000000001</v>
      </c>
      <c r="CJ8" s="1">
        <v>1269.07</v>
      </c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>
        <v>1195.29</v>
      </c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>
        <v>1156.7</v>
      </c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>
        <v>1117.01</v>
      </c>
      <c r="EC8" s="1"/>
      <c r="ED8" s="1"/>
      <c r="EE8" s="1"/>
      <c r="EF8" s="1"/>
      <c r="EG8" s="1"/>
      <c r="EH8" s="1"/>
      <c r="EI8" s="1"/>
      <c r="EJ8" s="1">
        <v>1077.3</v>
      </c>
      <c r="EK8" s="1">
        <v>1076.9100000000001</v>
      </c>
      <c r="EL8" s="1"/>
      <c r="EM8" s="1">
        <v>1071.83</v>
      </c>
      <c r="EN8" s="1"/>
      <c r="EO8" s="1"/>
      <c r="EP8" s="1"/>
      <c r="EQ8" s="1"/>
      <c r="ER8" s="1"/>
      <c r="ES8" s="1"/>
      <c r="ET8" s="1"/>
      <c r="EU8" s="1"/>
      <c r="EV8" s="1"/>
      <c r="EW8" s="1"/>
      <c r="EX8" s="1">
        <v>1031.8599999999999</v>
      </c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>
        <v>982.27</v>
      </c>
      <c r="FL8" s="1">
        <v>978.65</v>
      </c>
      <c r="FM8" s="1"/>
      <c r="FN8" s="1">
        <v>977.47</v>
      </c>
      <c r="FO8" s="1">
        <v>974.32</v>
      </c>
      <c r="FP8" s="1">
        <v>968.74</v>
      </c>
      <c r="FQ8" s="1">
        <v>965.66</v>
      </c>
      <c r="FR8" s="1">
        <v>963.72</v>
      </c>
      <c r="FS8" s="1"/>
      <c r="FT8" s="1"/>
      <c r="FU8" s="1">
        <v>950.88</v>
      </c>
      <c r="FV8" s="1"/>
      <c r="FW8" s="1">
        <v>945.25</v>
      </c>
      <c r="FX8" s="1">
        <v>940.78</v>
      </c>
      <c r="FY8" s="1"/>
      <c r="FZ8" s="1"/>
      <c r="GA8" s="1"/>
      <c r="GB8" s="1"/>
      <c r="GC8" s="1">
        <v>911.51</v>
      </c>
      <c r="GD8" s="1"/>
      <c r="GE8" s="1"/>
      <c r="GF8" s="1"/>
      <c r="GG8" s="1"/>
      <c r="GH8" s="1"/>
      <c r="GI8" s="1"/>
      <c r="GJ8" s="1"/>
      <c r="GK8" s="1"/>
      <c r="GL8" s="1"/>
      <c r="GM8" s="1"/>
      <c r="GN8" s="1">
        <v>865.72</v>
      </c>
      <c r="GO8" s="1"/>
      <c r="GP8" s="1"/>
      <c r="GQ8" s="1"/>
      <c r="GR8" s="1"/>
      <c r="GS8" s="1"/>
      <c r="GT8" s="1">
        <v>855.37</v>
      </c>
      <c r="GU8" s="1">
        <v>854.8</v>
      </c>
      <c r="GV8" s="1"/>
      <c r="GW8" s="1"/>
      <c r="GX8" s="1"/>
      <c r="GY8" s="1">
        <v>832</v>
      </c>
      <c r="GZ8" s="1"/>
      <c r="HA8" s="1">
        <v>823.97</v>
      </c>
      <c r="HB8" s="1">
        <v>809.32</v>
      </c>
      <c r="HC8" s="1">
        <v>790.74</v>
      </c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>
        <v>1649.57</v>
      </c>
      <c r="HR8" s="1"/>
      <c r="HS8" s="1"/>
      <c r="HT8" s="1">
        <v>1635.01</v>
      </c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>
        <v>1500.06</v>
      </c>
      <c r="IJ8" s="1"/>
      <c r="IK8" s="1"/>
      <c r="IL8" s="1"/>
      <c r="IM8" s="1"/>
      <c r="IN8" s="1"/>
      <c r="IO8" s="1"/>
      <c r="IP8" s="1"/>
      <c r="IQ8" s="1"/>
      <c r="IR8" s="1"/>
      <c r="IS8" s="1">
        <v>1473.82</v>
      </c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>
        <v>1389.27</v>
      </c>
      <c r="JM8" s="1"/>
      <c r="JN8" s="1"/>
      <c r="JO8" s="1"/>
      <c r="JP8" s="1">
        <v>1382.06</v>
      </c>
      <c r="JQ8" s="1"/>
      <c r="JR8" s="1"/>
      <c r="JS8" s="1"/>
      <c r="JT8" s="1"/>
      <c r="JU8" s="1"/>
      <c r="JV8" s="1"/>
      <c r="JW8" s="1"/>
      <c r="JX8" s="1"/>
      <c r="JY8" s="1"/>
      <c r="JZ8" s="1">
        <v>1333.48</v>
      </c>
      <c r="KA8" s="1"/>
      <c r="KB8" s="1"/>
      <c r="KC8" s="1"/>
      <c r="KD8" s="1"/>
      <c r="KE8" s="1"/>
      <c r="KF8" s="1">
        <v>1299.69</v>
      </c>
      <c r="KG8" s="1"/>
      <c r="KH8" s="1"/>
      <c r="KI8" s="1"/>
      <c r="KJ8" s="1"/>
      <c r="KK8" s="1"/>
      <c r="KL8" s="1">
        <v>1293.3499999999999</v>
      </c>
      <c r="KM8" s="1">
        <v>1269.07</v>
      </c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>
        <v>1205.8499999999999</v>
      </c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>
        <v>1161.96</v>
      </c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>
        <v>1117.01</v>
      </c>
      <c r="MF8" s="1"/>
      <c r="MG8" s="1"/>
      <c r="MH8" s="1"/>
      <c r="MI8" s="1"/>
      <c r="MJ8" s="1"/>
      <c r="MK8" s="1"/>
      <c r="ML8" s="1"/>
      <c r="MM8" s="1">
        <v>1072.24</v>
      </c>
      <c r="MN8" s="1">
        <v>1076.9100000000001</v>
      </c>
      <c r="MO8" s="1"/>
      <c r="MP8" s="1">
        <v>1079.18</v>
      </c>
      <c r="MQ8" s="1"/>
      <c r="MR8" s="1"/>
      <c r="MS8" s="1"/>
      <c r="MT8" s="1"/>
      <c r="MU8" s="1"/>
      <c r="MV8" s="1"/>
      <c r="MW8" s="1"/>
      <c r="MX8" s="1"/>
      <c r="MY8" s="1"/>
      <c r="MZ8" s="1"/>
      <c r="NA8" s="1">
        <v>1031.8599999999999</v>
      </c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>
        <v>982.27</v>
      </c>
      <c r="NO8" s="1">
        <v>978.65</v>
      </c>
      <c r="NP8" s="1"/>
      <c r="NQ8" s="1">
        <v>977.47</v>
      </c>
      <c r="NR8" s="1">
        <v>974.32</v>
      </c>
      <c r="NS8" s="1">
        <v>968.74</v>
      </c>
      <c r="NT8" s="1">
        <v>965.66</v>
      </c>
      <c r="NU8" s="1">
        <v>969</v>
      </c>
      <c r="NV8" s="1"/>
      <c r="NW8" s="1"/>
      <c r="NX8" s="1">
        <v>950.88</v>
      </c>
      <c r="NY8" s="1"/>
      <c r="NZ8" s="1">
        <v>939.97</v>
      </c>
      <c r="OA8" s="1">
        <v>940.78</v>
      </c>
      <c r="OB8" s="1"/>
      <c r="OC8" s="1"/>
      <c r="OD8" s="1"/>
      <c r="OE8" s="1"/>
      <c r="OF8" s="1">
        <v>911.51</v>
      </c>
      <c r="OG8" s="1"/>
      <c r="OH8" s="1"/>
      <c r="OI8" s="1"/>
      <c r="OJ8" s="1"/>
      <c r="OK8" s="1"/>
      <c r="OL8" s="1"/>
      <c r="OM8" s="1"/>
      <c r="ON8" s="1"/>
      <c r="OO8" s="1"/>
      <c r="OP8" s="1"/>
      <c r="OQ8" s="1">
        <v>865.72</v>
      </c>
      <c r="OR8" s="1"/>
      <c r="OS8" s="1"/>
      <c r="OT8" s="1"/>
      <c r="OU8" s="1"/>
      <c r="OV8" s="1"/>
      <c r="OW8" s="1">
        <v>855.37</v>
      </c>
      <c r="OX8" s="1">
        <v>854.8</v>
      </c>
      <c r="OY8" s="1"/>
      <c r="OZ8" s="1"/>
      <c r="PA8" s="1"/>
      <c r="PB8" s="1">
        <v>832</v>
      </c>
      <c r="PC8" s="1"/>
      <c r="PD8" s="1">
        <v>823.97</v>
      </c>
      <c r="PE8" s="1">
        <v>809.32</v>
      </c>
      <c r="PF8" s="1">
        <v>790.74</v>
      </c>
      <c r="PG8" s="1"/>
      <c r="PH8" s="1">
        <v>38321.370000000003</v>
      </c>
      <c r="PI8" s="1">
        <v>38361.560000000005</v>
      </c>
    </row>
    <row r="9" spans="1:425" x14ac:dyDescent="0.2">
      <c r="A9" s="3" t="s">
        <v>9</v>
      </c>
      <c r="B9" s="1">
        <v>1841.3</v>
      </c>
      <c r="C9" s="1"/>
      <c r="D9" s="1">
        <v>1773.88</v>
      </c>
      <c r="E9" s="1"/>
      <c r="F9" s="1"/>
      <c r="G9" s="1"/>
      <c r="H9" s="1"/>
      <c r="I9" s="1"/>
      <c r="J9" s="1"/>
      <c r="K9" s="1"/>
      <c r="L9" s="1"/>
      <c r="M9" s="1"/>
      <c r="N9" s="1"/>
      <c r="O9" s="1">
        <v>1638.71</v>
      </c>
      <c r="P9" s="1"/>
      <c r="Q9" s="1"/>
      <c r="R9" s="1">
        <v>1611.04</v>
      </c>
      <c r="S9" s="1"/>
      <c r="T9" s="1"/>
      <c r="U9" s="1"/>
      <c r="V9" s="1"/>
      <c r="W9" s="1"/>
      <c r="X9" s="1">
        <v>1561.01</v>
      </c>
      <c r="Y9" s="1"/>
      <c r="Z9" s="1"/>
      <c r="AA9" s="1"/>
      <c r="AB9" s="1"/>
      <c r="AC9" s="1"/>
      <c r="AD9" s="1">
        <v>1509.61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>
        <v>1464.39</v>
      </c>
      <c r="AT9" s="1"/>
      <c r="AU9" s="1"/>
      <c r="AV9" s="1">
        <v>1448.77</v>
      </c>
      <c r="AW9" s="1"/>
      <c r="AX9" s="1"/>
      <c r="AY9" s="1"/>
      <c r="AZ9" s="1"/>
      <c r="BA9" s="1"/>
      <c r="BB9" s="1"/>
      <c r="BC9" s="1"/>
      <c r="BD9" s="1"/>
      <c r="BE9" s="1"/>
      <c r="BF9" s="1">
        <v>1404.37</v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>
        <v>1296.28</v>
      </c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>
        <v>1837.56</v>
      </c>
      <c r="HF9" s="1"/>
      <c r="HG9" s="1">
        <v>1770.65</v>
      </c>
      <c r="HH9" s="1"/>
      <c r="HI9" s="1"/>
      <c r="HJ9" s="1"/>
      <c r="HK9" s="1"/>
      <c r="HL9" s="1"/>
      <c r="HM9" s="1"/>
      <c r="HN9" s="1"/>
      <c r="HO9" s="1"/>
      <c r="HP9" s="1"/>
      <c r="HQ9" s="1"/>
      <c r="HR9" s="1">
        <v>1640.95</v>
      </c>
      <c r="HS9" s="1"/>
      <c r="HT9" s="1"/>
      <c r="HU9" s="1">
        <v>1604.07</v>
      </c>
      <c r="HV9" s="1"/>
      <c r="HW9" s="1"/>
      <c r="HX9" s="1"/>
      <c r="HY9" s="1"/>
      <c r="HZ9" s="1"/>
      <c r="IA9" s="1">
        <v>1562.24</v>
      </c>
      <c r="IB9" s="1"/>
      <c r="IC9" s="1"/>
      <c r="ID9" s="1"/>
      <c r="IE9" s="1"/>
      <c r="IF9" s="1"/>
      <c r="IG9" s="1">
        <v>1514.86</v>
      </c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>
        <v>1463.74</v>
      </c>
      <c r="IW9" s="1"/>
      <c r="IX9" s="1"/>
      <c r="IY9" s="1">
        <v>1440.13</v>
      </c>
      <c r="IZ9" s="1"/>
      <c r="JA9" s="1"/>
      <c r="JB9" s="1"/>
      <c r="JC9" s="1"/>
      <c r="JD9" s="1"/>
      <c r="JE9" s="1"/>
      <c r="JF9" s="1"/>
      <c r="JG9" s="1"/>
      <c r="JH9" s="1"/>
      <c r="JI9" s="1">
        <v>1405.17</v>
      </c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>
        <v>1298.81</v>
      </c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>
        <v>15549.360000000002</v>
      </c>
      <c r="PI9" s="1">
        <v>15538.18</v>
      </c>
    </row>
    <row r="10" spans="1:425" x14ac:dyDescent="0.2">
      <c r="A10" s="3" t="s">
        <v>221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>
        <v>1193.98</v>
      </c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>
        <v>1095.7</v>
      </c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>
        <v>1007.46</v>
      </c>
      <c r="FE10" s="1"/>
      <c r="FF10" s="1">
        <v>995.58</v>
      </c>
      <c r="FG10" s="1">
        <v>995.11</v>
      </c>
      <c r="FH10" s="1">
        <v>989.43</v>
      </c>
      <c r="FI10" s="1">
        <v>985.62</v>
      </c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>
        <v>900.27</v>
      </c>
      <c r="GH10" s="1">
        <v>899.33</v>
      </c>
      <c r="GI10" s="1"/>
      <c r="GJ10" s="1">
        <v>894.26</v>
      </c>
      <c r="GK10" s="1"/>
      <c r="GL10" s="1"/>
      <c r="GM10" s="1"/>
      <c r="GN10" s="1"/>
      <c r="GO10" s="1"/>
      <c r="GP10" s="1">
        <v>861.81</v>
      </c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>
        <v>1198.96</v>
      </c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>
        <v>1092.56</v>
      </c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>
        <v>997.6</v>
      </c>
      <c r="NH10" s="1"/>
      <c r="NI10" s="1">
        <v>999.7</v>
      </c>
      <c r="NJ10" s="1">
        <v>995.11</v>
      </c>
      <c r="NK10" s="1">
        <v>993.37</v>
      </c>
      <c r="NL10" s="1">
        <v>990.55</v>
      </c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>
        <v>900.27</v>
      </c>
      <c r="OK10" s="1">
        <v>899.33</v>
      </c>
      <c r="OL10" s="1"/>
      <c r="OM10" s="1">
        <v>894.26</v>
      </c>
      <c r="ON10" s="1"/>
      <c r="OO10" s="1"/>
      <c r="OP10" s="1"/>
      <c r="OQ10" s="1"/>
      <c r="OR10" s="1"/>
      <c r="OS10" s="1">
        <v>861.81</v>
      </c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>
        <v>10818.55</v>
      </c>
      <c r="PI10" s="1">
        <v>10823.519999999999</v>
      </c>
    </row>
    <row r="11" spans="1:425" x14ac:dyDescent="0.2">
      <c r="A11" s="3" t="s">
        <v>12</v>
      </c>
      <c r="B11" s="1"/>
      <c r="C11" s="1">
        <v>1816.71</v>
      </c>
      <c r="D11" s="1"/>
      <c r="E11" s="1">
        <v>1759.78</v>
      </c>
      <c r="F11" s="1">
        <v>1728.47</v>
      </c>
      <c r="G11" s="1">
        <v>1726.14</v>
      </c>
      <c r="H11" s="1">
        <v>1715.22</v>
      </c>
      <c r="I11" s="1">
        <v>1694.51</v>
      </c>
      <c r="J11" s="1">
        <v>1676.56</v>
      </c>
      <c r="K11" s="1">
        <v>1666.57</v>
      </c>
      <c r="L11" s="1">
        <v>1650.21</v>
      </c>
      <c r="M11" s="1">
        <v>1645.64</v>
      </c>
      <c r="N11" s="1"/>
      <c r="O11" s="1"/>
      <c r="P11" s="1">
        <v>1635.92</v>
      </c>
      <c r="Q11" s="1"/>
      <c r="R11" s="1"/>
      <c r="S11" s="1"/>
      <c r="T11" s="1">
        <v>1569.82</v>
      </c>
      <c r="U11" s="1"/>
      <c r="V11" s="1">
        <v>1563.62</v>
      </c>
      <c r="W11" s="1"/>
      <c r="X11" s="1"/>
      <c r="Y11" s="1"/>
      <c r="Z11" s="1">
        <v>1553.33</v>
      </c>
      <c r="AA11" s="1">
        <v>1548.59</v>
      </c>
      <c r="AB11" s="1">
        <v>1536.99</v>
      </c>
      <c r="AC11" s="1"/>
      <c r="AD11" s="1"/>
      <c r="AE11" s="1"/>
      <c r="AF11" s="1"/>
      <c r="AG11" s="1"/>
      <c r="AH11" s="1">
        <v>1496.11</v>
      </c>
      <c r="AI11" s="1">
        <v>1492.95</v>
      </c>
      <c r="AJ11" s="1">
        <v>1492.21</v>
      </c>
      <c r="AK11" s="1">
        <v>1492.2</v>
      </c>
      <c r="AL11" s="1"/>
      <c r="AM11" s="1"/>
      <c r="AN11" s="1"/>
      <c r="AO11" s="1">
        <v>1479.53</v>
      </c>
      <c r="AP11" s="1"/>
      <c r="AQ11" s="1">
        <v>1473.04</v>
      </c>
      <c r="AR11" s="1"/>
      <c r="AS11" s="1"/>
      <c r="AT11" s="1">
        <v>1460.14</v>
      </c>
      <c r="AU11" s="1"/>
      <c r="AV11" s="1"/>
      <c r="AW11" s="1"/>
      <c r="AX11" s="1">
        <v>1440.19</v>
      </c>
      <c r="AY11" s="1"/>
      <c r="AZ11" s="1"/>
      <c r="BA11" s="1">
        <v>1437.6</v>
      </c>
      <c r="BB11" s="1">
        <v>1434.68</v>
      </c>
      <c r="BC11" s="1"/>
      <c r="BD11" s="1">
        <v>1425.59</v>
      </c>
      <c r="BE11" s="1">
        <v>1405.6</v>
      </c>
      <c r="BF11" s="1"/>
      <c r="BG11" s="1">
        <v>1403.51</v>
      </c>
      <c r="BH11" s="1">
        <v>1396.55</v>
      </c>
      <c r="BI11" s="1"/>
      <c r="BJ11" s="1"/>
      <c r="BK11" s="1">
        <v>1384.41</v>
      </c>
      <c r="BL11" s="1">
        <v>1384.04</v>
      </c>
      <c r="BM11" s="1"/>
      <c r="BN11" s="1">
        <v>1358.51</v>
      </c>
      <c r="BO11" s="1">
        <v>1354.11</v>
      </c>
      <c r="BP11" s="1"/>
      <c r="BQ11" s="1"/>
      <c r="BR11" s="1">
        <v>1341.03</v>
      </c>
      <c r="BS11" s="1"/>
      <c r="BT11" s="1"/>
      <c r="BU11" s="1">
        <v>1335.36</v>
      </c>
      <c r="BV11" s="1"/>
      <c r="BW11" s="1"/>
      <c r="BX11" s="1"/>
      <c r="BY11" s="1">
        <v>1316.55</v>
      </c>
      <c r="BZ11" s="1"/>
      <c r="CA11" s="1">
        <v>1307.3399999999999</v>
      </c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>
        <v>1243.8</v>
      </c>
      <c r="CP11" s="1">
        <v>1233.93</v>
      </c>
      <c r="CQ11" s="1"/>
      <c r="CR11" s="1"/>
      <c r="CS11" s="1"/>
      <c r="CT11" s="1">
        <v>1221.06</v>
      </c>
      <c r="CU11" s="1"/>
      <c r="CV11" s="1"/>
      <c r="CW11" s="1"/>
      <c r="CX11" s="1"/>
      <c r="CY11" s="1"/>
      <c r="CZ11" s="1"/>
      <c r="DA11" s="1"/>
      <c r="DB11" s="1"/>
      <c r="DC11" s="1"/>
      <c r="DD11" s="1">
        <v>1187.01</v>
      </c>
      <c r="DE11" s="1"/>
      <c r="DF11" s="1">
        <v>1184.6400000000001</v>
      </c>
      <c r="DG11" s="1">
        <v>1183.82</v>
      </c>
      <c r="DH11" s="1"/>
      <c r="DI11" s="1"/>
      <c r="DJ11" s="1">
        <v>1166.6300000000001</v>
      </c>
      <c r="DK11" s="1"/>
      <c r="DL11" s="1"/>
      <c r="DM11" s="1"/>
      <c r="DN11" s="1"/>
      <c r="DO11" s="1"/>
      <c r="DP11" s="1"/>
      <c r="DQ11" s="1"/>
      <c r="DR11" s="1"/>
      <c r="DS11" s="1">
        <v>1147.17</v>
      </c>
      <c r="DT11" s="1">
        <v>1146.72</v>
      </c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>
        <v>1114.21</v>
      </c>
      <c r="EF11" s="1"/>
      <c r="EG11" s="1"/>
      <c r="EH11" s="1"/>
      <c r="EI11" s="1"/>
      <c r="EJ11" s="1"/>
      <c r="EK11" s="1"/>
      <c r="EL11" s="1"/>
      <c r="EM11" s="1"/>
      <c r="EN11" s="1"/>
      <c r="EO11" s="1">
        <v>1069.75</v>
      </c>
      <c r="EP11" s="1"/>
      <c r="EQ11" s="1"/>
      <c r="ER11" s="1"/>
      <c r="ES11" s="1"/>
      <c r="ET11" s="1"/>
      <c r="EU11" s="1"/>
      <c r="EV11" s="1">
        <v>1035.2</v>
      </c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>
        <v>977.92</v>
      </c>
      <c r="FN11" s="1"/>
      <c r="FO11" s="1"/>
      <c r="FP11" s="1"/>
      <c r="FQ11" s="1"/>
      <c r="FR11" s="1"/>
      <c r="FS11" s="1">
        <v>961.23</v>
      </c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>
        <v>862.39</v>
      </c>
      <c r="GP11" s="1"/>
      <c r="GQ11" s="1"/>
      <c r="GR11" s="1"/>
      <c r="GS11" s="1"/>
      <c r="GT11" s="1"/>
      <c r="GU11" s="1"/>
      <c r="GV11" s="1"/>
      <c r="GW11" s="1">
        <v>852.16</v>
      </c>
      <c r="GX11" s="1"/>
      <c r="GY11" s="1"/>
      <c r="GZ11" s="1"/>
      <c r="HA11" s="1"/>
      <c r="HB11" s="1"/>
      <c r="HC11" s="1"/>
      <c r="HD11" s="1">
        <v>762.22</v>
      </c>
      <c r="HE11" s="1"/>
      <c r="HF11" s="1">
        <v>1821.92</v>
      </c>
      <c r="HG11" s="1"/>
      <c r="HH11" s="1">
        <v>1764.85</v>
      </c>
      <c r="HI11" s="1">
        <v>1737.46</v>
      </c>
      <c r="HJ11" s="1">
        <v>1713.86</v>
      </c>
      <c r="HK11" s="1">
        <v>1716.93</v>
      </c>
      <c r="HL11" s="1">
        <v>1679.41</v>
      </c>
      <c r="HM11" s="1">
        <v>1678.65</v>
      </c>
      <c r="HN11" s="1">
        <v>1665.47</v>
      </c>
      <c r="HO11" s="1">
        <v>1658.96</v>
      </c>
      <c r="HP11" s="1">
        <v>1632.15</v>
      </c>
      <c r="HQ11" s="1"/>
      <c r="HR11" s="1"/>
      <c r="HS11" s="1">
        <v>1621.43</v>
      </c>
      <c r="HT11" s="1"/>
      <c r="HU11" s="1"/>
      <c r="HV11" s="1"/>
      <c r="HW11" s="1">
        <v>1582.13</v>
      </c>
      <c r="HX11" s="1"/>
      <c r="HY11" s="1">
        <v>1549.53</v>
      </c>
      <c r="HZ11" s="1"/>
      <c r="IA11" s="1"/>
      <c r="IB11" s="1"/>
      <c r="IC11" s="1">
        <v>1563.44</v>
      </c>
      <c r="ID11" s="1">
        <v>1546.18</v>
      </c>
      <c r="IE11" s="1">
        <v>1542.79</v>
      </c>
      <c r="IF11" s="1"/>
      <c r="IG11" s="1"/>
      <c r="IH11" s="1"/>
      <c r="II11" s="1"/>
      <c r="IJ11" s="1"/>
      <c r="IK11" s="1">
        <v>1493.42</v>
      </c>
      <c r="IL11" s="1">
        <v>1502.47</v>
      </c>
      <c r="IM11" s="1">
        <v>1502.9</v>
      </c>
      <c r="IN11" s="1">
        <v>1486.76</v>
      </c>
      <c r="IO11" s="1"/>
      <c r="IP11" s="1"/>
      <c r="IQ11" s="1"/>
      <c r="IR11" s="1">
        <v>1462.96</v>
      </c>
      <c r="IS11" s="1"/>
      <c r="IT11" s="1">
        <v>1488.57</v>
      </c>
      <c r="IU11" s="1"/>
      <c r="IV11" s="1"/>
      <c r="IW11" s="1">
        <v>1475.13</v>
      </c>
      <c r="IX11" s="1"/>
      <c r="IY11" s="1"/>
      <c r="IZ11" s="1"/>
      <c r="JA11" s="1">
        <v>1442.48</v>
      </c>
      <c r="JB11" s="1"/>
      <c r="JC11" s="1"/>
      <c r="JD11" s="1">
        <v>1441.45</v>
      </c>
      <c r="JE11" s="1">
        <v>1427.84</v>
      </c>
      <c r="JF11" s="1"/>
      <c r="JG11" s="1">
        <v>1439.99</v>
      </c>
      <c r="JH11" s="1">
        <v>1398.41</v>
      </c>
      <c r="JI11" s="1"/>
      <c r="JJ11" s="1">
        <v>1403.98</v>
      </c>
      <c r="JK11" s="1">
        <v>1399.1</v>
      </c>
      <c r="JL11" s="1"/>
      <c r="JM11" s="1"/>
      <c r="JN11" s="1">
        <v>1379.61</v>
      </c>
      <c r="JO11" s="1">
        <v>1372.48</v>
      </c>
      <c r="JP11" s="1"/>
      <c r="JQ11" s="1">
        <v>1375.2</v>
      </c>
      <c r="JR11" s="1">
        <v>1361.81</v>
      </c>
      <c r="JS11" s="1"/>
      <c r="JT11" s="1"/>
      <c r="JU11" s="1">
        <v>1354.59</v>
      </c>
      <c r="JV11" s="1"/>
      <c r="JW11" s="1"/>
      <c r="JX11" s="1">
        <v>1325.16</v>
      </c>
      <c r="JY11" s="1"/>
      <c r="JZ11" s="1"/>
      <c r="KA11" s="1"/>
      <c r="KB11" s="1">
        <v>1316.35</v>
      </c>
      <c r="KC11" s="1"/>
      <c r="KD11" s="1">
        <v>1296.46</v>
      </c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>
        <v>1235.3599999999999</v>
      </c>
      <c r="KS11" s="1">
        <v>1242.42</v>
      </c>
      <c r="KT11" s="1"/>
      <c r="KU11" s="1"/>
      <c r="KV11" s="1"/>
      <c r="KW11" s="1">
        <v>1226.55</v>
      </c>
      <c r="KX11" s="1"/>
      <c r="KY11" s="1"/>
      <c r="KZ11" s="1"/>
      <c r="LA11" s="1"/>
      <c r="LB11" s="1"/>
      <c r="LC11" s="1"/>
      <c r="LD11" s="1"/>
      <c r="LE11" s="1"/>
      <c r="LF11" s="1"/>
      <c r="LG11" s="1">
        <v>1183.9000000000001</v>
      </c>
      <c r="LH11" s="1"/>
      <c r="LI11" s="1">
        <v>1177.4000000000001</v>
      </c>
      <c r="LJ11" s="1">
        <v>1180.52</v>
      </c>
      <c r="LK11" s="1"/>
      <c r="LL11" s="1"/>
      <c r="LM11" s="1">
        <v>1166.28</v>
      </c>
      <c r="LN11" s="1"/>
      <c r="LO11" s="1"/>
      <c r="LP11" s="1"/>
      <c r="LQ11" s="1"/>
      <c r="LR11" s="1"/>
      <c r="LS11" s="1"/>
      <c r="LT11" s="1"/>
      <c r="LU11" s="1"/>
      <c r="LV11" s="1">
        <v>1136.29</v>
      </c>
      <c r="LW11" s="1">
        <v>1127.17</v>
      </c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>
        <v>1125.3599999999999</v>
      </c>
      <c r="MI11" s="1"/>
      <c r="MJ11" s="1"/>
      <c r="MK11" s="1"/>
      <c r="ML11" s="1"/>
      <c r="MM11" s="1"/>
      <c r="MN11" s="1"/>
      <c r="MO11" s="1"/>
      <c r="MP11" s="1"/>
      <c r="MQ11" s="1"/>
      <c r="MR11" s="1">
        <v>1074.08</v>
      </c>
      <c r="MS11" s="1"/>
      <c r="MT11" s="1"/>
      <c r="MU11" s="1"/>
      <c r="MV11" s="1"/>
      <c r="MW11" s="1"/>
      <c r="MX11" s="1"/>
      <c r="MY11" s="1">
        <v>1028.7</v>
      </c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>
        <v>974.68</v>
      </c>
      <c r="NQ11" s="1"/>
      <c r="NR11" s="1"/>
      <c r="NS11" s="1"/>
      <c r="NT11" s="1"/>
      <c r="NU11" s="1"/>
      <c r="NV11" s="1">
        <v>944.96</v>
      </c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>
        <v>873.99</v>
      </c>
      <c r="OS11" s="1"/>
      <c r="OT11" s="1"/>
      <c r="OU11" s="1"/>
      <c r="OV11" s="1"/>
      <c r="OW11" s="1"/>
      <c r="OX11" s="1"/>
      <c r="OY11" s="1"/>
      <c r="OZ11" s="1">
        <v>856.55</v>
      </c>
      <c r="PA11" s="1"/>
      <c r="PB11" s="1"/>
      <c r="PC11" s="1"/>
      <c r="PD11" s="1"/>
      <c r="PE11" s="1"/>
      <c r="PF11" s="1"/>
      <c r="PG11" s="1">
        <v>763.82</v>
      </c>
      <c r="PH11" s="1">
        <v>75949.19</v>
      </c>
      <c r="PI11" s="1">
        <v>75940.310000000012</v>
      </c>
    </row>
    <row r="12" spans="1:425" x14ac:dyDescent="0.2">
      <c r="A12" s="3" t="s">
        <v>441</v>
      </c>
      <c r="B12" s="1">
        <v>1841.3</v>
      </c>
      <c r="C12" s="1">
        <v>1816.71</v>
      </c>
      <c r="D12" s="1">
        <v>1773.88</v>
      </c>
      <c r="E12" s="1">
        <v>1759.78</v>
      </c>
      <c r="F12" s="1">
        <v>1728.47</v>
      </c>
      <c r="G12" s="1">
        <v>1726.14</v>
      </c>
      <c r="H12" s="1">
        <v>1715.22</v>
      </c>
      <c r="I12" s="1">
        <v>1694.51</v>
      </c>
      <c r="J12" s="1">
        <v>1676.56</v>
      </c>
      <c r="K12" s="1">
        <v>1666.57</v>
      </c>
      <c r="L12" s="1">
        <v>1650.21</v>
      </c>
      <c r="M12" s="1">
        <v>1645.64</v>
      </c>
      <c r="N12" s="1">
        <v>1644.89</v>
      </c>
      <c r="O12" s="1">
        <v>1638.71</v>
      </c>
      <c r="P12" s="1">
        <v>1635.92</v>
      </c>
      <c r="Q12" s="1">
        <v>1627.48</v>
      </c>
      <c r="R12" s="1">
        <v>1611.04</v>
      </c>
      <c r="S12" s="1">
        <v>1584.38</v>
      </c>
      <c r="T12" s="1">
        <v>1569.82</v>
      </c>
      <c r="U12" s="1">
        <v>1564.61</v>
      </c>
      <c r="V12" s="1">
        <v>1563.62</v>
      </c>
      <c r="W12" s="1">
        <v>1563.5</v>
      </c>
      <c r="X12" s="1">
        <v>1561.01</v>
      </c>
      <c r="Y12" s="1">
        <v>1559.54</v>
      </c>
      <c r="Z12" s="1">
        <v>1553.33</v>
      </c>
      <c r="AA12" s="1">
        <v>1548.59</v>
      </c>
      <c r="AB12" s="1">
        <v>1536.99</v>
      </c>
      <c r="AC12" s="1">
        <v>1530.3</v>
      </c>
      <c r="AD12" s="1">
        <v>1509.61</v>
      </c>
      <c r="AE12" s="1">
        <v>1507.54</v>
      </c>
      <c r="AF12" s="1">
        <v>1503.59</v>
      </c>
      <c r="AG12" s="1">
        <v>1498.47</v>
      </c>
      <c r="AH12" s="1">
        <v>1496.11</v>
      </c>
      <c r="AI12" s="1">
        <v>1492.95</v>
      </c>
      <c r="AJ12" s="1">
        <v>1492.21</v>
      </c>
      <c r="AK12" s="1">
        <v>1492.2</v>
      </c>
      <c r="AL12" s="1">
        <v>1489.1</v>
      </c>
      <c r="AM12" s="1">
        <v>1488.72</v>
      </c>
      <c r="AN12" s="1">
        <v>1486.44</v>
      </c>
      <c r="AO12" s="1">
        <v>1479.53</v>
      </c>
      <c r="AP12" s="1">
        <v>1475</v>
      </c>
      <c r="AQ12" s="1">
        <v>1473.04</v>
      </c>
      <c r="AR12" s="1">
        <v>1471.44</v>
      </c>
      <c r="AS12" s="1">
        <v>1464.39</v>
      </c>
      <c r="AT12" s="1">
        <v>1460.14</v>
      </c>
      <c r="AU12" s="1">
        <v>1448.85</v>
      </c>
      <c r="AV12" s="1">
        <v>1448.77</v>
      </c>
      <c r="AW12" s="1">
        <v>1443.06</v>
      </c>
      <c r="AX12" s="1">
        <v>1440.19</v>
      </c>
      <c r="AY12" s="1">
        <v>1439.89</v>
      </c>
      <c r="AZ12" s="1">
        <v>1437.78</v>
      </c>
      <c r="BA12" s="1">
        <v>1437.6</v>
      </c>
      <c r="BB12" s="1">
        <v>1434.68</v>
      </c>
      <c r="BC12" s="1">
        <v>1432.25</v>
      </c>
      <c r="BD12" s="1">
        <v>1425.59</v>
      </c>
      <c r="BE12" s="1">
        <v>1405.6</v>
      </c>
      <c r="BF12" s="1">
        <v>1404.37</v>
      </c>
      <c r="BG12" s="1">
        <v>1403.51</v>
      </c>
      <c r="BH12" s="1">
        <v>1396.55</v>
      </c>
      <c r="BI12" s="1">
        <v>1393.28</v>
      </c>
      <c r="BJ12" s="1">
        <v>1393</v>
      </c>
      <c r="BK12" s="1">
        <v>1384.41</v>
      </c>
      <c r="BL12" s="1">
        <v>1384.04</v>
      </c>
      <c r="BM12" s="1">
        <v>1378.86</v>
      </c>
      <c r="BN12" s="1">
        <v>1358.51</v>
      </c>
      <c r="BO12" s="1">
        <v>1354.11</v>
      </c>
      <c r="BP12" s="1">
        <v>1349.59</v>
      </c>
      <c r="BQ12" s="1">
        <v>1343.01</v>
      </c>
      <c r="BR12" s="1">
        <v>1341.03</v>
      </c>
      <c r="BS12" s="1">
        <v>1337.57</v>
      </c>
      <c r="BT12" s="1">
        <v>1336.05</v>
      </c>
      <c r="BU12" s="1">
        <v>1335.36</v>
      </c>
      <c r="BV12" s="1">
        <v>1333.92</v>
      </c>
      <c r="BW12" s="1">
        <v>1330.51</v>
      </c>
      <c r="BX12" s="1">
        <v>1320.29</v>
      </c>
      <c r="BY12" s="1">
        <v>1316.55</v>
      </c>
      <c r="BZ12" s="1">
        <v>1309.98</v>
      </c>
      <c r="CA12" s="1">
        <v>1307.3399999999999</v>
      </c>
      <c r="CB12" s="1">
        <v>1305.06</v>
      </c>
      <c r="CC12" s="1">
        <v>1301.98</v>
      </c>
      <c r="CD12" s="1">
        <v>1301.8399999999999</v>
      </c>
      <c r="CE12" s="1">
        <v>1296.28</v>
      </c>
      <c r="CF12" s="1">
        <v>1290.47</v>
      </c>
      <c r="CG12" s="1">
        <v>1289.99</v>
      </c>
      <c r="CH12" s="1">
        <v>1280.6400000000001</v>
      </c>
      <c r="CI12" s="1">
        <v>1278.6400000000001</v>
      </c>
      <c r="CJ12" s="1">
        <v>1269.07</v>
      </c>
      <c r="CK12" s="1">
        <v>1267.4100000000001</v>
      </c>
      <c r="CL12" s="1">
        <v>1260.69</v>
      </c>
      <c r="CM12" s="1">
        <v>1255.92</v>
      </c>
      <c r="CN12" s="1">
        <v>1247.47</v>
      </c>
      <c r="CO12" s="1">
        <v>1243.8</v>
      </c>
      <c r="CP12" s="1">
        <v>1233.93</v>
      </c>
      <c r="CQ12" s="1">
        <v>1233.72</v>
      </c>
      <c r="CR12" s="1">
        <v>1230.22</v>
      </c>
      <c r="CS12" s="1">
        <v>1226.6500000000001</v>
      </c>
      <c r="CT12" s="1">
        <v>1221.06</v>
      </c>
      <c r="CU12" s="1">
        <v>1215.6600000000001</v>
      </c>
      <c r="CV12" s="1">
        <v>1211.71</v>
      </c>
      <c r="CW12" s="1">
        <v>1208.79</v>
      </c>
      <c r="CX12" s="1">
        <v>1202.26</v>
      </c>
      <c r="CY12" s="1">
        <v>1200.74</v>
      </c>
      <c r="CZ12" s="1">
        <v>1197.58</v>
      </c>
      <c r="DA12" s="1">
        <v>1195.29</v>
      </c>
      <c r="DB12" s="1">
        <v>1193.98</v>
      </c>
      <c r="DC12" s="1">
        <v>1192.0899999999999</v>
      </c>
      <c r="DD12" s="1">
        <v>1187.01</v>
      </c>
      <c r="DE12" s="1">
        <v>1185.7</v>
      </c>
      <c r="DF12" s="1">
        <v>1184.6400000000001</v>
      </c>
      <c r="DG12" s="1">
        <v>1183.82</v>
      </c>
      <c r="DH12" s="1">
        <v>1174.92</v>
      </c>
      <c r="DI12" s="1">
        <v>1169.96</v>
      </c>
      <c r="DJ12" s="1">
        <v>1166.6300000000001</v>
      </c>
      <c r="DK12" s="1">
        <v>1165.22</v>
      </c>
      <c r="DL12" s="1">
        <v>1164.1300000000001</v>
      </c>
      <c r="DM12" s="1">
        <v>1160.71</v>
      </c>
      <c r="DN12" s="1">
        <v>1160.31</v>
      </c>
      <c r="DO12" s="1">
        <v>1156.7</v>
      </c>
      <c r="DP12" s="1">
        <v>1155.9000000000001</v>
      </c>
      <c r="DQ12" s="1">
        <v>1154.25</v>
      </c>
      <c r="DR12" s="1">
        <v>1152.8</v>
      </c>
      <c r="DS12" s="1">
        <v>1147.17</v>
      </c>
      <c r="DT12" s="1">
        <v>1146.72</v>
      </c>
      <c r="DU12" s="1">
        <v>1144.97</v>
      </c>
      <c r="DV12" s="1">
        <v>1138.56</v>
      </c>
      <c r="DW12" s="1">
        <v>1137.47</v>
      </c>
      <c r="DX12" s="1">
        <v>1128.92</v>
      </c>
      <c r="DY12" s="1">
        <v>1127.3399999999999</v>
      </c>
      <c r="DZ12" s="1">
        <v>1123.18</v>
      </c>
      <c r="EA12" s="1">
        <v>1119.8900000000001</v>
      </c>
      <c r="EB12" s="1">
        <v>1117.01</v>
      </c>
      <c r="EC12" s="1">
        <v>1116.97</v>
      </c>
      <c r="ED12" s="1">
        <v>1115.1300000000001</v>
      </c>
      <c r="EE12" s="1">
        <v>1114.21</v>
      </c>
      <c r="EF12" s="1">
        <v>1100.47</v>
      </c>
      <c r="EG12" s="1">
        <v>1095.7</v>
      </c>
      <c r="EH12" s="1">
        <v>1093.6600000000001</v>
      </c>
      <c r="EI12" s="1">
        <v>1091.19</v>
      </c>
      <c r="EJ12" s="1">
        <v>1077.3</v>
      </c>
      <c r="EK12" s="1">
        <v>1076.9100000000001</v>
      </c>
      <c r="EL12" s="1">
        <v>1076.26</v>
      </c>
      <c r="EM12" s="1">
        <v>1071.83</v>
      </c>
      <c r="EN12" s="1">
        <v>1070.8900000000001</v>
      </c>
      <c r="EO12" s="1">
        <v>1069.75</v>
      </c>
      <c r="EP12" s="1">
        <v>1062.3900000000001</v>
      </c>
      <c r="EQ12" s="1">
        <v>1062.32</v>
      </c>
      <c r="ER12" s="1">
        <v>1061.4000000000001</v>
      </c>
      <c r="ES12" s="1">
        <v>1056.46</v>
      </c>
      <c r="ET12" s="1">
        <v>1053.4100000000001</v>
      </c>
      <c r="EU12" s="1">
        <v>1049.6600000000001</v>
      </c>
      <c r="EV12" s="1">
        <v>1035.2</v>
      </c>
      <c r="EW12" s="1">
        <v>1033.9000000000001</v>
      </c>
      <c r="EX12" s="1">
        <v>1031.8599999999999</v>
      </c>
      <c r="EY12" s="1">
        <v>1026.0899999999999</v>
      </c>
      <c r="EZ12" s="1">
        <v>1023.52</v>
      </c>
      <c r="FA12" s="1">
        <v>1023.04</v>
      </c>
      <c r="FB12" s="1">
        <v>1017.78</v>
      </c>
      <c r="FC12" s="1">
        <v>1007.89</v>
      </c>
      <c r="FD12" s="1">
        <v>1007.46</v>
      </c>
      <c r="FE12" s="1">
        <v>1003.5</v>
      </c>
      <c r="FF12" s="1">
        <v>995.58</v>
      </c>
      <c r="FG12" s="1">
        <v>995.11</v>
      </c>
      <c r="FH12" s="1">
        <v>989.43</v>
      </c>
      <c r="FI12" s="1">
        <v>985.62</v>
      </c>
      <c r="FJ12" s="1">
        <v>983.99</v>
      </c>
      <c r="FK12" s="1">
        <v>982.27</v>
      </c>
      <c r="FL12" s="1">
        <v>978.65</v>
      </c>
      <c r="FM12" s="1">
        <v>977.92</v>
      </c>
      <c r="FN12" s="1">
        <v>977.47</v>
      </c>
      <c r="FO12" s="1">
        <v>974.32</v>
      </c>
      <c r="FP12" s="1">
        <v>968.74</v>
      </c>
      <c r="FQ12" s="1">
        <v>965.66</v>
      </c>
      <c r="FR12" s="1">
        <v>963.72</v>
      </c>
      <c r="FS12" s="1">
        <v>961.23</v>
      </c>
      <c r="FT12" s="1">
        <v>954.86</v>
      </c>
      <c r="FU12" s="1">
        <v>950.88</v>
      </c>
      <c r="FV12" s="1">
        <v>948.62</v>
      </c>
      <c r="FW12" s="1">
        <v>945.25</v>
      </c>
      <c r="FX12" s="1">
        <v>940.78</v>
      </c>
      <c r="FY12" s="1">
        <v>932.02</v>
      </c>
      <c r="FZ12" s="1">
        <v>930.22</v>
      </c>
      <c r="GA12" s="1">
        <v>922.1</v>
      </c>
      <c r="GB12" s="1">
        <v>913.55</v>
      </c>
      <c r="GC12" s="1">
        <v>911.51</v>
      </c>
      <c r="GD12" s="1">
        <v>910.96</v>
      </c>
      <c r="GE12" s="1">
        <v>908.18</v>
      </c>
      <c r="GF12" s="1">
        <v>905.51</v>
      </c>
      <c r="GG12" s="1">
        <v>900.27</v>
      </c>
      <c r="GH12" s="1">
        <v>899.33</v>
      </c>
      <c r="GI12" s="1">
        <v>898.41</v>
      </c>
      <c r="GJ12" s="1">
        <v>894.26</v>
      </c>
      <c r="GK12" s="1">
        <v>884.45</v>
      </c>
      <c r="GL12" s="1">
        <v>875.05</v>
      </c>
      <c r="GM12" s="1">
        <v>866.81</v>
      </c>
      <c r="GN12" s="1">
        <v>865.72</v>
      </c>
      <c r="GO12" s="1">
        <v>862.39</v>
      </c>
      <c r="GP12" s="1">
        <v>861.81</v>
      </c>
      <c r="GQ12" s="1">
        <v>860.06</v>
      </c>
      <c r="GR12" s="1">
        <v>859.56</v>
      </c>
      <c r="GS12" s="1">
        <v>855.56</v>
      </c>
      <c r="GT12" s="1">
        <v>855.37</v>
      </c>
      <c r="GU12" s="1">
        <v>854.8</v>
      </c>
      <c r="GV12" s="1">
        <v>854.72</v>
      </c>
      <c r="GW12" s="1">
        <v>852.16</v>
      </c>
      <c r="GX12" s="1">
        <v>838.33</v>
      </c>
      <c r="GY12" s="1">
        <v>832</v>
      </c>
      <c r="GZ12" s="1">
        <v>825.25</v>
      </c>
      <c r="HA12" s="1">
        <v>823.97</v>
      </c>
      <c r="HB12" s="1">
        <v>809.32</v>
      </c>
      <c r="HC12" s="1">
        <v>790.74</v>
      </c>
      <c r="HD12" s="1">
        <v>762.22</v>
      </c>
      <c r="HE12" s="1">
        <v>1837.56</v>
      </c>
      <c r="HF12" s="1">
        <v>1821.92</v>
      </c>
      <c r="HG12" s="1">
        <v>1770.65</v>
      </c>
      <c r="HH12" s="1">
        <v>1764.85</v>
      </c>
      <c r="HI12" s="1">
        <v>1737.46</v>
      </c>
      <c r="HJ12" s="1">
        <v>1713.86</v>
      </c>
      <c r="HK12" s="1">
        <v>1716.93</v>
      </c>
      <c r="HL12" s="1">
        <v>1679.41</v>
      </c>
      <c r="HM12" s="1">
        <v>1678.65</v>
      </c>
      <c r="HN12" s="1">
        <v>1665.47</v>
      </c>
      <c r="HO12" s="1">
        <v>1658.96</v>
      </c>
      <c r="HP12" s="1">
        <v>1632.15</v>
      </c>
      <c r="HQ12" s="1">
        <v>1649.57</v>
      </c>
      <c r="HR12" s="1">
        <v>1640.95</v>
      </c>
      <c r="HS12" s="1">
        <v>1621.43</v>
      </c>
      <c r="HT12" s="1">
        <v>1635.01</v>
      </c>
      <c r="HU12" s="1">
        <v>1604.07</v>
      </c>
      <c r="HV12" s="1">
        <v>1584.59</v>
      </c>
      <c r="HW12" s="1">
        <v>1582.13</v>
      </c>
      <c r="HX12" s="1">
        <v>1558.64</v>
      </c>
      <c r="HY12" s="1">
        <v>1549.53</v>
      </c>
      <c r="HZ12" s="1">
        <v>1558.35</v>
      </c>
      <c r="IA12" s="1">
        <v>1562.24</v>
      </c>
      <c r="IB12" s="1">
        <v>1554.69</v>
      </c>
      <c r="IC12" s="1">
        <v>1563.44</v>
      </c>
      <c r="ID12" s="1">
        <v>1546.18</v>
      </c>
      <c r="IE12" s="1">
        <v>1542.79</v>
      </c>
      <c r="IF12" s="1">
        <v>1526.02</v>
      </c>
      <c r="IG12" s="1">
        <v>1514.86</v>
      </c>
      <c r="IH12" s="1">
        <v>1507.86</v>
      </c>
      <c r="II12" s="1">
        <v>1500.06</v>
      </c>
      <c r="IJ12" s="1">
        <v>1504.7</v>
      </c>
      <c r="IK12" s="1">
        <v>1493.42</v>
      </c>
      <c r="IL12" s="1">
        <v>1502.47</v>
      </c>
      <c r="IM12" s="1">
        <v>1502.9</v>
      </c>
      <c r="IN12" s="1">
        <v>1486.76</v>
      </c>
      <c r="IO12" s="1">
        <v>1480.59</v>
      </c>
      <c r="IP12" s="1">
        <v>1483.73</v>
      </c>
      <c r="IQ12" s="1">
        <v>1482.63</v>
      </c>
      <c r="IR12" s="1">
        <v>1462.96</v>
      </c>
      <c r="IS12" s="1">
        <v>1473.82</v>
      </c>
      <c r="IT12" s="1">
        <v>1488.57</v>
      </c>
      <c r="IU12" s="1">
        <v>1484.95</v>
      </c>
      <c r="IV12" s="1">
        <v>1463.74</v>
      </c>
      <c r="IW12" s="1">
        <v>1475.13</v>
      </c>
      <c r="IX12" s="1">
        <v>1442.88</v>
      </c>
      <c r="IY12" s="1">
        <v>1440.13</v>
      </c>
      <c r="IZ12" s="1">
        <v>1435.91</v>
      </c>
      <c r="JA12" s="1">
        <v>1442.48</v>
      </c>
      <c r="JB12" s="1">
        <v>1441.97</v>
      </c>
      <c r="JC12" s="1">
        <v>1435.74</v>
      </c>
      <c r="JD12" s="1">
        <v>1441.45</v>
      </c>
      <c r="JE12" s="1">
        <v>1427.84</v>
      </c>
      <c r="JF12" s="1">
        <v>1425.64</v>
      </c>
      <c r="JG12" s="1">
        <v>1439.99</v>
      </c>
      <c r="JH12" s="1">
        <v>1398.41</v>
      </c>
      <c r="JI12" s="1">
        <v>1405.17</v>
      </c>
      <c r="JJ12" s="1">
        <v>1403.98</v>
      </c>
      <c r="JK12" s="1">
        <v>1399.1</v>
      </c>
      <c r="JL12" s="1">
        <v>1389.27</v>
      </c>
      <c r="JM12" s="1">
        <v>1393.47</v>
      </c>
      <c r="JN12" s="1">
        <v>1379.61</v>
      </c>
      <c r="JO12" s="1">
        <v>1372.48</v>
      </c>
      <c r="JP12" s="1">
        <v>1382.06</v>
      </c>
      <c r="JQ12" s="1">
        <v>1375.2</v>
      </c>
      <c r="JR12" s="1">
        <v>1361.81</v>
      </c>
      <c r="JS12" s="1">
        <v>1350.55</v>
      </c>
      <c r="JT12" s="1">
        <v>1338.91</v>
      </c>
      <c r="JU12" s="1">
        <v>1354.59</v>
      </c>
      <c r="JV12" s="1">
        <v>1346.09</v>
      </c>
      <c r="JW12" s="1">
        <v>1331.46</v>
      </c>
      <c r="JX12" s="1">
        <v>1325.16</v>
      </c>
      <c r="JY12" s="1">
        <v>1332.84</v>
      </c>
      <c r="JZ12" s="1">
        <v>1333.48</v>
      </c>
      <c r="KA12" s="1">
        <v>1323.03</v>
      </c>
      <c r="KB12" s="1">
        <v>1316.35</v>
      </c>
      <c r="KC12" s="1">
        <v>1306.6300000000001</v>
      </c>
      <c r="KD12" s="1">
        <v>1296.46</v>
      </c>
      <c r="KE12" s="1">
        <v>1305.06</v>
      </c>
      <c r="KF12" s="1">
        <v>1299.69</v>
      </c>
      <c r="KG12" s="1">
        <v>1301.8399999999999</v>
      </c>
      <c r="KH12" s="1">
        <v>1298.81</v>
      </c>
      <c r="KI12" s="1">
        <v>1294.8900000000001</v>
      </c>
      <c r="KJ12" s="1">
        <v>1279.74</v>
      </c>
      <c r="KK12" s="1">
        <v>1289.25</v>
      </c>
      <c r="KL12" s="1">
        <v>1293.3499999999999</v>
      </c>
      <c r="KM12" s="1">
        <v>1269.07</v>
      </c>
      <c r="KN12" s="1">
        <v>1270.8</v>
      </c>
      <c r="KO12" s="1">
        <v>1264.56</v>
      </c>
      <c r="KP12" s="1">
        <v>1265.03</v>
      </c>
      <c r="KQ12" s="1">
        <v>1258.71</v>
      </c>
      <c r="KR12" s="1">
        <v>1235.3599999999999</v>
      </c>
      <c r="KS12" s="1">
        <v>1242.42</v>
      </c>
      <c r="KT12" s="1">
        <v>1233.72</v>
      </c>
      <c r="KU12" s="1">
        <v>1232.9100000000001</v>
      </c>
      <c r="KV12" s="1">
        <v>1218.8399999999999</v>
      </c>
      <c r="KW12" s="1">
        <v>1226.55</v>
      </c>
      <c r="KX12" s="1">
        <v>1215.33</v>
      </c>
      <c r="KY12" s="1">
        <v>1211.71</v>
      </c>
      <c r="KZ12" s="1">
        <v>1215.0899999999999</v>
      </c>
      <c r="LA12" s="1">
        <v>1202.26</v>
      </c>
      <c r="LB12" s="1">
        <v>1193.78</v>
      </c>
      <c r="LC12" s="1">
        <v>1181.8599999999999</v>
      </c>
      <c r="LD12" s="1">
        <v>1205.8499999999999</v>
      </c>
      <c r="LE12" s="1">
        <v>1198.96</v>
      </c>
      <c r="LF12" s="1">
        <v>1198.6500000000001</v>
      </c>
      <c r="LG12" s="1">
        <v>1183.9000000000001</v>
      </c>
      <c r="LH12" s="1">
        <v>1179.0999999999999</v>
      </c>
      <c r="LI12" s="1">
        <v>1177.4000000000001</v>
      </c>
      <c r="LJ12" s="1">
        <v>1180.52</v>
      </c>
      <c r="LK12" s="1">
        <v>1170.69</v>
      </c>
      <c r="LL12" s="1">
        <v>1169.96</v>
      </c>
      <c r="LM12" s="1">
        <v>1166.28</v>
      </c>
      <c r="LN12" s="1">
        <v>1165.4100000000001</v>
      </c>
      <c r="LO12" s="1">
        <v>1164.1300000000001</v>
      </c>
      <c r="LP12" s="1">
        <v>1165.53</v>
      </c>
      <c r="LQ12" s="1">
        <v>1169.71</v>
      </c>
      <c r="LR12" s="1">
        <v>1161.96</v>
      </c>
      <c r="LS12" s="1">
        <v>1149.08</v>
      </c>
      <c r="LT12" s="1">
        <v>1148.3599999999999</v>
      </c>
      <c r="LU12" s="1">
        <v>1155.23</v>
      </c>
      <c r="LV12" s="1">
        <v>1136.29</v>
      </c>
      <c r="LW12" s="1">
        <v>1127.17</v>
      </c>
      <c r="LX12" s="1">
        <v>1144.77</v>
      </c>
      <c r="LY12" s="1">
        <v>1138.56</v>
      </c>
      <c r="LZ12" s="1">
        <v>1137.47</v>
      </c>
      <c r="MA12" s="1">
        <v>1130.22</v>
      </c>
      <c r="MB12" s="1">
        <v>1124.9100000000001</v>
      </c>
      <c r="MC12" s="1">
        <v>1127.44</v>
      </c>
      <c r="MD12" s="1">
        <v>1121.9100000000001</v>
      </c>
      <c r="ME12" s="1">
        <v>1117.01</v>
      </c>
      <c r="MF12" s="1">
        <v>1116.06</v>
      </c>
      <c r="MG12" s="1">
        <v>1115.1300000000001</v>
      </c>
      <c r="MH12" s="1">
        <v>1125.3599999999999</v>
      </c>
      <c r="MI12" s="1">
        <v>1100.47</v>
      </c>
      <c r="MJ12" s="1">
        <v>1092.56</v>
      </c>
      <c r="MK12" s="1">
        <v>1095.04</v>
      </c>
      <c r="ML12" s="1">
        <v>1088.27</v>
      </c>
      <c r="MM12" s="1">
        <v>1072.24</v>
      </c>
      <c r="MN12" s="1">
        <v>1076.9100000000001</v>
      </c>
      <c r="MO12" s="1">
        <v>1076.26</v>
      </c>
      <c r="MP12" s="1">
        <v>1079.18</v>
      </c>
      <c r="MQ12" s="1">
        <v>1070.8900000000001</v>
      </c>
      <c r="MR12" s="1">
        <v>1074.08</v>
      </c>
      <c r="MS12" s="1">
        <v>1058.3699999999999</v>
      </c>
      <c r="MT12" s="1">
        <v>1057.5899999999999</v>
      </c>
      <c r="MU12" s="1">
        <v>1061.4000000000001</v>
      </c>
      <c r="MV12" s="1">
        <v>1060.17</v>
      </c>
      <c r="MW12" s="1">
        <v>1053.4100000000001</v>
      </c>
      <c r="MX12" s="1">
        <v>1051.25</v>
      </c>
      <c r="MY12" s="1">
        <v>1028.7</v>
      </c>
      <c r="MZ12" s="1">
        <v>1019.19</v>
      </c>
      <c r="NA12" s="1">
        <v>1031.8599999999999</v>
      </c>
      <c r="NB12" s="1">
        <v>1018.25</v>
      </c>
      <c r="NC12" s="1">
        <v>1023.52</v>
      </c>
      <c r="ND12" s="1">
        <v>1023.04</v>
      </c>
      <c r="NE12" s="1">
        <v>1017.78</v>
      </c>
      <c r="NF12" s="1">
        <v>1011.91</v>
      </c>
      <c r="NG12" s="1">
        <v>997.6</v>
      </c>
      <c r="NH12" s="1">
        <v>1004.75</v>
      </c>
      <c r="NI12" s="1">
        <v>999.7</v>
      </c>
      <c r="NJ12" s="1">
        <v>995.11</v>
      </c>
      <c r="NK12" s="1">
        <v>993.37</v>
      </c>
      <c r="NL12" s="1">
        <v>990.55</v>
      </c>
      <c r="NM12" s="1">
        <v>983.99</v>
      </c>
      <c r="NN12" s="1">
        <v>982.27</v>
      </c>
      <c r="NO12" s="1">
        <v>978.65</v>
      </c>
      <c r="NP12" s="1">
        <v>974.68</v>
      </c>
      <c r="NQ12" s="1">
        <v>977.47</v>
      </c>
      <c r="NR12" s="1">
        <v>974.32</v>
      </c>
      <c r="NS12" s="1">
        <v>968.74</v>
      </c>
      <c r="NT12" s="1">
        <v>965.66</v>
      </c>
      <c r="NU12" s="1">
        <v>969</v>
      </c>
      <c r="NV12" s="1">
        <v>944.96</v>
      </c>
      <c r="NW12" s="1">
        <v>950.45</v>
      </c>
      <c r="NX12" s="1">
        <v>950.88</v>
      </c>
      <c r="NY12" s="1">
        <v>954.3</v>
      </c>
      <c r="NZ12" s="1">
        <v>939.97</v>
      </c>
      <c r="OA12" s="1">
        <v>940.78</v>
      </c>
      <c r="OB12" s="1">
        <v>932.02</v>
      </c>
      <c r="OC12" s="1">
        <v>931.98</v>
      </c>
      <c r="OD12" s="1">
        <v>922.1</v>
      </c>
      <c r="OE12" s="1">
        <v>913.55</v>
      </c>
      <c r="OF12" s="1">
        <v>911.51</v>
      </c>
      <c r="OG12" s="1">
        <v>910.96</v>
      </c>
      <c r="OH12" s="1">
        <v>908.18</v>
      </c>
      <c r="OI12" s="1">
        <v>914.66</v>
      </c>
      <c r="OJ12" s="1">
        <v>900.27</v>
      </c>
      <c r="OK12" s="1">
        <v>899.33</v>
      </c>
      <c r="OL12" s="1">
        <v>897.1</v>
      </c>
      <c r="OM12" s="1">
        <v>894.26</v>
      </c>
      <c r="ON12" s="1">
        <v>883.18</v>
      </c>
      <c r="OO12" s="1">
        <v>877.84</v>
      </c>
      <c r="OP12" s="1">
        <v>866.81</v>
      </c>
      <c r="OQ12" s="1">
        <v>865.72</v>
      </c>
      <c r="OR12" s="1">
        <v>873.99</v>
      </c>
      <c r="OS12" s="1">
        <v>861.81</v>
      </c>
      <c r="OT12" s="1">
        <v>860.06</v>
      </c>
      <c r="OU12" s="1">
        <v>860.48</v>
      </c>
      <c r="OV12" s="1">
        <v>855.56</v>
      </c>
      <c r="OW12" s="1">
        <v>855.37</v>
      </c>
      <c r="OX12" s="1">
        <v>854.8</v>
      </c>
      <c r="OY12" s="1">
        <v>854.72</v>
      </c>
      <c r="OZ12" s="1">
        <v>856.55</v>
      </c>
      <c r="PA12" s="1">
        <v>838.33</v>
      </c>
      <c r="PB12" s="1">
        <v>832</v>
      </c>
      <c r="PC12" s="1">
        <v>825.25</v>
      </c>
      <c r="PD12" s="1">
        <v>823.97</v>
      </c>
      <c r="PE12" s="1">
        <v>809.32</v>
      </c>
      <c r="PF12" s="1">
        <v>790.74</v>
      </c>
      <c r="PG12" s="1">
        <v>763.82</v>
      </c>
      <c r="PH12" s="1">
        <v>257565.03</v>
      </c>
      <c r="PI12" s="1">
        <v>257556.21999999997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4F2F-BF68-664F-991C-859084895010}">
  <dimension ref="A1:C215"/>
  <sheetViews>
    <sheetView workbookViewId="0">
      <selection activeCell="A3" sqref="A3"/>
    </sheetView>
  </sheetViews>
  <sheetFormatPr baseColWidth="10" defaultRowHeight="16" x14ac:dyDescent="0.2"/>
  <cols>
    <col min="1" max="1" width="25.6640625" bestFit="1" customWidth="1"/>
    <col min="3" max="3" width="18.83203125" bestFit="1" customWidth="1"/>
  </cols>
  <sheetData>
    <row r="1" spans="1:3" x14ac:dyDescent="0.2">
      <c r="A1" s="2" t="s">
        <v>2</v>
      </c>
      <c r="B1" t="s">
        <v>445</v>
      </c>
    </row>
    <row r="3" spans="1:3" x14ac:dyDescent="0.2">
      <c r="A3" s="2" t="s">
        <v>440</v>
      </c>
      <c r="B3" t="s">
        <v>444</v>
      </c>
      <c r="C3" t="s">
        <v>449</v>
      </c>
    </row>
    <row r="4" spans="1:3" x14ac:dyDescent="0.2">
      <c r="A4" s="3" t="s">
        <v>322</v>
      </c>
      <c r="B4" s="1">
        <v>156</v>
      </c>
      <c r="C4" s="1">
        <v>154</v>
      </c>
    </row>
    <row r="5" spans="1:3" x14ac:dyDescent="0.2">
      <c r="A5" s="3" t="s">
        <v>141</v>
      </c>
      <c r="B5" s="1">
        <v>66</v>
      </c>
      <c r="C5" s="1">
        <v>66</v>
      </c>
    </row>
    <row r="6" spans="1:3" x14ac:dyDescent="0.2">
      <c r="A6" s="3" t="s">
        <v>83</v>
      </c>
      <c r="B6" s="1">
        <v>37</v>
      </c>
      <c r="C6" s="1">
        <v>41</v>
      </c>
    </row>
    <row r="7" spans="1:3" x14ac:dyDescent="0.2">
      <c r="A7" s="3" t="s">
        <v>386</v>
      </c>
      <c r="B7" s="1">
        <v>188</v>
      </c>
      <c r="C7" s="1">
        <v>188</v>
      </c>
    </row>
    <row r="8" spans="1:3" x14ac:dyDescent="0.2">
      <c r="A8" s="3" t="s">
        <v>312</v>
      </c>
      <c r="B8" s="1">
        <v>151</v>
      </c>
      <c r="C8" s="1">
        <v>152</v>
      </c>
    </row>
    <row r="9" spans="1:3" x14ac:dyDescent="0.2">
      <c r="A9" s="3" t="s">
        <v>248</v>
      </c>
      <c r="B9" s="1">
        <v>119</v>
      </c>
      <c r="C9" s="1">
        <v>120</v>
      </c>
    </row>
    <row r="10" spans="1:3" x14ac:dyDescent="0.2">
      <c r="A10" s="3" t="s">
        <v>430</v>
      </c>
      <c r="B10" s="1">
        <v>210</v>
      </c>
      <c r="C10" s="1">
        <v>210</v>
      </c>
    </row>
    <row r="11" spans="1:3" x14ac:dyDescent="0.2">
      <c r="A11" s="3" t="s">
        <v>272</v>
      </c>
      <c r="B11" s="1">
        <v>131</v>
      </c>
      <c r="C11" s="1">
        <v>132</v>
      </c>
    </row>
    <row r="12" spans="1:3" x14ac:dyDescent="0.2">
      <c r="A12" s="3" t="s">
        <v>13</v>
      </c>
      <c r="B12" s="1">
        <v>3</v>
      </c>
      <c r="C12" s="1">
        <v>3</v>
      </c>
    </row>
    <row r="13" spans="1:3" x14ac:dyDescent="0.2">
      <c r="A13" s="3" t="s">
        <v>195</v>
      </c>
      <c r="B13" s="1">
        <v>93</v>
      </c>
      <c r="C13" s="1">
        <v>92</v>
      </c>
    </row>
    <row r="14" spans="1:3" x14ac:dyDescent="0.2">
      <c r="A14" s="3" t="s">
        <v>412</v>
      </c>
      <c r="B14" s="1">
        <v>201</v>
      </c>
      <c r="C14" s="1">
        <v>202</v>
      </c>
    </row>
    <row r="15" spans="1:3" x14ac:dyDescent="0.2">
      <c r="A15" s="3" t="s">
        <v>85</v>
      </c>
      <c r="B15" s="1">
        <v>38</v>
      </c>
      <c r="C15" s="1">
        <v>39</v>
      </c>
    </row>
    <row r="16" spans="1:3" x14ac:dyDescent="0.2">
      <c r="A16" s="3" t="s">
        <v>77</v>
      </c>
      <c r="B16" s="1">
        <v>34</v>
      </c>
      <c r="C16" s="1">
        <v>33</v>
      </c>
    </row>
    <row r="17" spans="1:3" x14ac:dyDescent="0.2">
      <c r="A17" s="3" t="s">
        <v>256</v>
      </c>
      <c r="B17" s="1">
        <v>123</v>
      </c>
      <c r="C17" s="1">
        <v>128</v>
      </c>
    </row>
    <row r="18" spans="1:3" x14ac:dyDescent="0.2">
      <c r="A18" s="3" t="s">
        <v>414</v>
      </c>
      <c r="B18" s="1">
        <v>202</v>
      </c>
      <c r="C18" s="1">
        <v>203</v>
      </c>
    </row>
    <row r="19" spans="1:3" x14ac:dyDescent="0.2">
      <c r="A19" s="3" t="s">
        <v>179</v>
      </c>
      <c r="B19" s="1">
        <v>85</v>
      </c>
      <c r="C19" s="1">
        <v>85</v>
      </c>
    </row>
    <row r="20" spans="1:3" x14ac:dyDescent="0.2">
      <c r="A20" s="3" t="s">
        <v>394</v>
      </c>
      <c r="B20" s="1">
        <v>192</v>
      </c>
      <c r="C20" s="1">
        <v>192</v>
      </c>
    </row>
    <row r="21" spans="1:3" x14ac:dyDescent="0.2">
      <c r="A21" s="3" t="s">
        <v>342</v>
      </c>
      <c r="B21" s="1">
        <v>166</v>
      </c>
      <c r="C21" s="1">
        <v>166</v>
      </c>
    </row>
    <row r="22" spans="1:3" x14ac:dyDescent="0.2">
      <c r="A22" s="3" t="s">
        <v>203</v>
      </c>
      <c r="B22" s="1">
        <v>97</v>
      </c>
      <c r="C22" s="1">
        <v>96</v>
      </c>
    </row>
    <row r="23" spans="1:3" x14ac:dyDescent="0.2">
      <c r="A23" s="3" t="s">
        <v>10</v>
      </c>
      <c r="B23" s="1">
        <v>2</v>
      </c>
      <c r="C23" s="1">
        <v>2</v>
      </c>
    </row>
    <row r="24" spans="1:3" x14ac:dyDescent="0.2">
      <c r="A24" s="3" t="s">
        <v>362</v>
      </c>
      <c r="B24" s="1">
        <v>176</v>
      </c>
      <c r="C24" s="1">
        <v>175</v>
      </c>
    </row>
    <row r="25" spans="1:3" x14ac:dyDescent="0.2">
      <c r="A25" s="3" t="s">
        <v>191</v>
      </c>
      <c r="B25" s="1">
        <v>91</v>
      </c>
      <c r="C25" s="1">
        <v>91</v>
      </c>
    </row>
    <row r="26" spans="1:3" x14ac:dyDescent="0.2">
      <c r="A26" s="3" t="s">
        <v>348</v>
      </c>
      <c r="B26" s="1">
        <v>169</v>
      </c>
      <c r="C26" s="1">
        <v>168</v>
      </c>
    </row>
    <row r="27" spans="1:3" x14ac:dyDescent="0.2">
      <c r="A27" s="3" t="s">
        <v>380</v>
      </c>
      <c r="B27" s="1">
        <v>185</v>
      </c>
      <c r="C27" s="1">
        <v>186</v>
      </c>
    </row>
    <row r="28" spans="1:3" x14ac:dyDescent="0.2">
      <c r="A28" s="3" t="s">
        <v>173</v>
      </c>
      <c r="B28" s="1">
        <v>82</v>
      </c>
      <c r="C28" s="1">
        <v>81</v>
      </c>
    </row>
    <row r="29" spans="1:3" x14ac:dyDescent="0.2">
      <c r="A29" s="3" t="s">
        <v>125</v>
      </c>
      <c r="B29" s="1">
        <v>58</v>
      </c>
      <c r="C29" s="1">
        <v>57</v>
      </c>
    </row>
    <row r="30" spans="1:3" x14ac:dyDescent="0.2">
      <c r="A30" s="3" t="s">
        <v>306</v>
      </c>
      <c r="B30" s="1">
        <v>148</v>
      </c>
      <c r="C30" s="1">
        <v>146</v>
      </c>
    </row>
    <row r="31" spans="1:3" x14ac:dyDescent="0.2">
      <c r="A31" s="3" t="s">
        <v>7</v>
      </c>
      <c r="B31" s="1">
        <v>1</v>
      </c>
      <c r="C31" s="1">
        <v>1</v>
      </c>
    </row>
    <row r="32" spans="1:3" x14ac:dyDescent="0.2">
      <c r="A32" s="3" t="s">
        <v>428</v>
      </c>
      <c r="B32" s="1">
        <v>209</v>
      </c>
      <c r="C32" s="1">
        <v>209</v>
      </c>
    </row>
    <row r="33" spans="1:3" x14ac:dyDescent="0.2">
      <c r="A33" s="3" t="s">
        <v>390</v>
      </c>
      <c r="B33" s="1">
        <v>190</v>
      </c>
      <c r="C33" s="1">
        <v>190</v>
      </c>
    </row>
    <row r="34" spans="1:3" x14ac:dyDescent="0.2">
      <c r="A34" s="3" t="s">
        <v>153</v>
      </c>
      <c r="B34" s="1">
        <v>72</v>
      </c>
      <c r="C34" s="1">
        <v>74</v>
      </c>
    </row>
    <row r="35" spans="1:3" x14ac:dyDescent="0.2">
      <c r="A35" s="3" t="s">
        <v>117</v>
      </c>
      <c r="B35" s="1">
        <v>54</v>
      </c>
      <c r="C35" s="1">
        <v>55</v>
      </c>
    </row>
    <row r="36" spans="1:3" x14ac:dyDescent="0.2">
      <c r="A36" s="3" t="s">
        <v>292</v>
      </c>
      <c r="B36" s="1">
        <v>141</v>
      </c>
      <c r="C36" s="1">
        <v>141</v>
      </c>
    </row>
    <row r="37" spans="1:3" x14ac:dyDescent="0.2">
      <c r="A37" s="3" t="s">
        <v>151</v>
      </c>
      <c r="B37" s="1">
        <v>71</v>
      </c>
      <c r="C37" s="1">
        <v>73</v>
      </c>
    </row>
    <row r="38" spans="1:3" x14ac:dyDescent="0.2">
      <c r="A38" s="3" t="s">
        <v>364</v>
      </c>
      <c r="B38" s="1">
        <v>177</v>
      </c>
      <c r="C38" s="1">
        <v>174</v>
      </c>
    </row>
    <row r="39" spans="1:3" x14ac:dyDescent="0.2">
      <c r="A39" s="3" t="s">
        <v>95</v>
      </c>
      <c r="B39" s="1">
        <v>43</v>
      </c>
      <c r="C39" s="1">
        <v>38</v>
      </c>
    </row>
    <row r="40" spans="1:3" x14ac:dyDescent="0.2">
      <c r="A40" s="3" t="s">
        <v>91</v>
      </c>
      <c r="B40" s="1">
        <v>41</v>
      </c>
      <c r="C40" s="1">
        <v>43</v>
      </c>
    </row>
    <row r="41" spans="1:3" x14ac:dyDescent="0.2">
      <c r="A41" s="3" t="s">
        <v>400</v>
      </c>
      <c r="B41" s="1">
        <v>195</v>
      </c>
      <c r="C41" s="1">
        <v>196</v>
      </c>
    </row>
    <row r="42" spans="1:3" x14ac:dyDescent="0.2">
      <c r="A42" s="3" t="s">
        <v>274</v>
      </c>
      <c r="B42" s="1">
        <v>132</v>
      </c>
      <c r="C42" s="1">
        <v>133</v>
      </c>
    </row>
    <row r="43" spans="1:3" x14ac:dyDescent="0.2">
      <c r="A43" s="3" t="s">
        <v>372</v>
      </c>
      <c r="B43" s="1">
        <v>181</v>
      </c>
      <c r="C43" s="1">
        <v>181</v>
      </c>
    </row>
    <row r="44" spans="1:3" x14ac:dyDescent="0.2">
      <c r="A44" s="3" t="s">
        <v>67</v>
      </c>
      <c r="B44" s="1">
        <v>29</v>
      </c>
      <c r="C44" s="1">
        <v>29</v>
      </c>
    </row>
    <row r="45" spans="1:3" x14ac:dyDescent="0.2">
      <c r="A45" s="3" t="s">
        <v>167</v>
      </c>
      <c r="B45" s="1">
        <v>79</v>
      </c>
      <c r="C45" s="1">
        <v>78</v>
      </c>
    </row>
    <row r="46" spans="1:3" x14ac:dyDescent="0.2">
      <c r="A46" s="3" t="s">
        <v>324</v>
      </c>
      <c r="B46" s="1">
        <v>157</v>
      </c>
      <c r="C46" s="1">
        <v>157</v>
      </c>
    </row>
    <row r="47" spans="1:3" x14ac:dyDescent="0.2">
      <c r="A47" s="3" t="s">
        <v>41</v>
      </c>
      <c r="B47" s="1">
        <v>17</v>
      </c>
      <c r="C47" s="1">
        <v>17</v>
      </c>
    </row>
    <row r="48" spans="1:3" x14ac:dyDescent="0.2">
      <c r="A48" s="3" t="s">
        <v>268</v>
      </c>
      <c r="B48" s="1">
        <v>129</v>
      </c>
      <c r="C48" s="1">
        <v>127</v>
      </c>
    </row>
    <row r="49" spans="1:3" x14ac:dyDescent="0.2">
      <c r="A49" s="3" t="s">
        <v>209</v>
      </c>
      <c r="B49" s="1">
        <v>100</v>
      </c>
      <c r="C49" s="1">
        <v>99</v>
      </c>
    </row>
    <row r="50" spans="1:3" x14ac:dyDescent="0.2">
      <c r="A50" s="3" t="s">
        <v>155</v>
      </c>
      <c r="B50" s="1">
        <v>73</v>
      </c>
      <c r="C50" s="1">
        <v>72</v>
      </c>
    </row>
    <row r="51" spans="1:3" x14ac:dyDescent="0.2">
      <c r="A51" s="3" t="s">
        <v>388</v>
      </c>
      <c r="B51" s="1">
        <v>189</v>
      </c>
      <c r="C51" s="1">
        <v>189</v>
      </c>
    </row>
    <row r="52" spans="1:3" x14ac:dyDescent="0.2">
      <c r="A52" s="3" t="s">
        <v>71</v>
      </c>
      <c r="B52" s="1">
        <v>31</v>
      </c>
      <c r="C52" s="1">
        <v>34</v>
      </c>
    </row>
    <row r="53" spans="1:3" x14ac:dyDescent="0.2">
      <c r="A53" s="3" t="s">
        <v>105</v>
      </c>
      <c r="B53" s="1">
        <v>48</v>
      </c>
      <c r="C53" s="1">
        <v>52</v>
      </c>
    </row>
    <row r="54" spans="1:3" x14ac:dyDescent="0.2">
      <c r="A54" s="3" t="s">
        <v>31</v>
      </c>
      <c r="B54" s="1">
        <v>12</v>
      </c>
      <c r="C54" s="1">
        <v>15</v>
      </c>
    </row>
    <row r="55" spans="1:3" x14ac:dyDescent="0.2">
      <c r="A55" s="3" t="s">
        <v>344</v>
      </c>
      <c r="B55" s="1">
        <v>167</v>
      </c>
      <c r="C55" s="1">
        <v>167</v>
      </c>
    </row>
    <row r="56" spans="1:3" x14ac:dyDescent="0.2">
      <c r="A56" s="3" t="s">
        <v>181</v>
      </c>
      <c r="B56" s="1">
        <v>86</v>
      </c>
      <c r="C56" s="1">
        <v>84</v>
      </c>
    </row>
    <row r="57" spans="1:3" x14ac:dyDescent="0.2">
      <c r="A57" s="3" t="s">
        <v>230</v>
      </c>
      <c r="B57" s="1">
        <v>110</v>
      </c>
      <c r="C57" s="1">
        <v>108</v>
      </c>
    </row>
    <row r="58" spans="1:3" x14ac:dyDescent="0.2">
      <c r="A58" s="3" t="s">
        <v>79</v>
      </c>
      <c r="B58" s="1">
        <v>35</v>
      </c>
      <c r="C58" s="1">
        <v>32</v>
      </c>
    </row>
    <row r="59" spans="1:3" x14ac:dyDescent="0.2">
      <c r="A59" s="3" t="s">
        <v>27</v>
      </c>
      <c r="B59" s="1">
        <v>10</v>
      </c>
      <c r="C59" s="1">
        <v>10</v>
      </c>
    </row>
    <row r="60" spans="1:3" x14ac:dyDescent="0.2">
      <c r="A60" s="3" t="s">
        <v>396</v>
      </c>
      <c r="B60" s="1">
        <v>193</v>
      </c>
      <c r="C60" s="1">
        <v>193</v>
      </c>
    </row>
    <row r="61" spans="1:3" x14ac:dyDescent="0.2">
      <c r="A61" s="3" t="s">
        <v>378</v>
      </c>
      <c r="B61" s="1">
        <v>184</v>
      </c>
      <c r="C61" s="1">
        <v>185</v>
      </c>
    </row>
    <row r="62" spans="1:3" x14ac:dyDescent="0.2">
      <c r="A62" s="3" t="s">
        <v>316</v>
      </c>
      <c r="B62" s="1">
        <v>153</v>
      </c>
      <c r="C62" s="1">
        <v>151</v>
      </c>
    </row>
    <row r="63" spans="1:3" x14ac:dyDescent="0.2">
      <c r="A63" s="3" t="s">
        <v>97</v>
      </c>
      <c r="B63" s="1">
        <v>44</v>
      </c>
      <c r="C63" s="1">
        <v>44</v>
      </c>
    </row>
    <row r="64" spans="1:3" x14ac:dyDescent="0.2">
      <c r="A64" s="3" t="s">
        <v>87</v>
      </c>
      <c r="B64" s="1">
        <v>39</v>
      </c>
      <c r="C64" s="1">
        <v>40</v>
      </c>
    </row>
    <row r="65" spans="1:3" x14ac:dyDescent="0.2">
      <c r="A65" s="3" t="s">
        <v>157</v>
      </c>
      <c r="B65" s="1">
        <v>74</v>
      </c>
      <c r="C65" s="1">
        <v>71</v>
      </c>
    </row>
    <row r="66" spans="1:3" x14ac:dyDescent="0.2">
      <c r="A66" s="3" t="s">
        <v>17</v>
      </c>
      <c r="B66" s="1">
        <v>5</v>
      </c>
      <c r="C66" s="1">
        <v>5</v>
      </c>
    </row>
    <row r="67" spans="1:3" x14ac:dyDescent="0.2">
      <c r="A67" s="3" t="s">
        <v>205</v>
      </c>
      <c r="B67" s="1">
        <v>98</v>
      </c>
      <c r="C67" s="1">
        <v>98</v>
      </c>
    </row>
    <row r="68" spans="1:3" x14ac:dyDescent="0.2">
      <c r="A68" s="3" t="s">
        <v>410</v>
      </c>
      <c r="B68" s="1">
        <v>200</v>
      </c>
      <c r="C68" s="1">
        <v>201</v>
      </c>
    </row>
    <row r="69" spans="1:3" x14ac:dyDescent="0.2">
      <c r="A69" s="3" t="s">
        <v>228</v>
      </c>
      <c r="B69" s="1">
        <v>109</v>
      </c>
      <c r="C69" s="1">
        <v>110</v>
      </c>
    </row>
    <row r="70" spans="1:3" x14ac:dyDescent="0.2">
      <c r="A70" s="3" t="s">
        <v>296</v>
      </c>
      <c r="B70" s="1">
        <v>143</v>
      </c>
      <c r="C70" s="1">
        <v>144</v>
      </c>
    </row>
    <row r="71" spans="1:3" x14ac:dyDescent="0.2">
      <c r="A71" s="3" t="s">
        <v>286</v>
      </c>
      <c r="B71" s="1">
        <v>138</v>
      </c>
      <c r="C71" s="1">
        <v>138</v>
      </c>
    </row>
    <row r="72" spans="1:3" x14ac:dyDescent="0.2">
      <c r="A72" s="3" t="s">
        <v>254</v>
      </c>
      <c r="B72" s="1">
        <v>122</v>
      </c>
      <c r="C72" s="1">
        <v>125</v>
      </c>
    </row>
    <row r="73" spans="1:3" x14ac:dyDescent="0.2">
      <c r="A73" s="3" t="s">
        <v>336</v>
      </c>
      <c r="B73" s="1">
        <v>163</v>
      </c>
      <c r="C73" s="1">
        <v>163</v>
      </c>
    </row>
    <row r="74" spans="1:3" x14ac:dyDescent="0.2">
      <c r="A74" s="3" t="s">
        <v>121</v>
      </c>
      <c r="B74" s="1">
        <v>56</v>
      </c>
      <c r="C74" s="1">
        <v>59</v>
      </c>
    </row>
    <row r="75" spans="1:3" x14ac:dyDescent="0.2">
      <c r="A75" s="3" t="s">
        <v>15</v>
      </c>
      <c r="B75" s="1">
        <v>4</v>
      </c>
      <c r="C75" s="1">
        <v>4</v>
      </c>
    </row>
    <row r="76" spans="1:3" x14ac:dyDescent="0.2">
      <c r="A76" s="3" t="s">
        <v>171</v>
      </c>
      <c r="B76" s="1">
        <v>81</v>
      </c>
      <c r="C76" s="1">
        <v>79</v>
      </c>
    </row>
    <row r="77" spans="1:3" x14ac:dyDescent="0.2">
      <c r="A77" s="3" t="s">
        <v>165</v>
      </c>
      <c r="B77" s="1">
        <v>78</v>
      </c>
      <c r="C77" s="1">
        <v>82</v>
      </c>
    </row>
    <row r="78" spans="1:3" x14ac:dyDescent="0.2">
      <c r="A78" s="3" t="s">
        <v>29</v>
      </c>
      <c r="B78" s="1">
        <v>11</v>
      </c>
      <c r="C78" s="1">
        <v>11</v>
      </c>
    </row>
    <row r="79" spans="1:3" x14ac:dyDescent="0.2">
      <c r="A79" s="3" t="s">
        <v>131</v>
      </c>
      <c r="B79" s="1">
        <v>61</v>
      </c>
      <c r="C79" s="1">
        <v>60</v>
      </c>
    </row>
    <row r="80" spans="1:3" x14ac:dyDescent="0.2">
      <c r="A80" s="3" t="s">
        <v>418</v>
      </c>
      <c r="B80" s="1">
        <v>204</v>
      </c>
      <c r="C80" s="1">
        <v>200</v>
      </c>
    </row>
    <row r="81" spans="1:3" x14ac:dyDescent="0.2">
      <c r="A81" s="3" t="s">
        <v>113</v>
      </c>
      <c r="B81" s="1">
        <v>52</v>
      </c>
      <c r="C81" s="1">
        <v>49</v>
      </c>
    </row>
    <row r="82" spans="1:3" x14ac:dyDescent="0.2">
      <c r="A82" s="3" t="s">
        <v>356</v>
      </c>
      <c r="B82" s="1">
        <v>173</v>
      </c>
      <c r="C82" s="1">
        <v>171</v>
      </c>
    </row>
    <row r="83" spans="1:3" x14ac:dyDescent="0.2">
      <c r="A83" s="3" t="s">
        <v>420</v>
      </c>
      <c r="B83" s="1">
        <v>205</v>
      </c>
      <c r="C83" s="1">
        <v>205</v>
      </c>
    </row>
    <row r="84" spans="1:3" x14ac:dyDescent="0.2">
      <c r="A84" s="3" t="s">
        <v>246</v>
      </c>
      <c r="B84" s="1">
        <v>118</v>
      </c>
      <c r="C84" s="1">
        <v>118</v>
      </c>
    </row>
    <row r="85" spans="1:3" x14ac:dyDescent="0.2">
      <c r="A85" s="3" t="s">
        <v>175</v>
      </c>
      <c r="B85" s="1">
        <v>83</v>
      </c>
      <c r="C85" s="1">
        <v>83</v>
      </c>
    </row>
    <row r="86" spans="1:3" x14ac:dyDescent="0.2">
      <c r="A86" s="3" t="s">
        <v>242</v>
      </c>
      <c r="B86" s="1">
        <v>116</v>
      </c>
      <c r="C86" s="1">
        <v>115</v>
      </c>
    </row>
    <row r="87" spans="1:3" x14ac:dyDescent="0.2">
      <c r="A87" s="3" t="s">
        <v>352</v>
      </c>
      <c r="B87" s="1">
        <v>171</v>
      </c>
      <c r="C87" s="1">
        <v>172</v>
      </c>
    </row>
    <row r="88" spans="1:3" x14ac:dyDescent="0.2">
      <c r="A88" s="3" t="s">
        <v>183</v>
      </c>
      <c r="B88" s="1">
        <v>87</v>
      </c>
      <c r="C88" s="1">
        <v>88</v>
      </c>
    </row>
    <row r="89" spans="1:3" x14ac:dyDescent="0.2">
      <c r="A89" s="3" t="s">
        <v>169</v>
      </c>
      <c r="B89" s="1">
        <v>80</v>
      </c>
      <c r="C89" s="1">
        <v>80</v>
      </c>
    </row>
    <row r="90" spans="1:3" x14ac:dyDescent="0.2">
      <c r="A90" s="3" t="s">
        <v>300</v>
      </c>
      <c r="B90" s="1">
        <v>145</v>
      </c>
      <c r="C90" s="1">
        <v>147</v>
      </c>
    </row>
    <row r="91" spans="1:3" x14ac:dyDescent="0.2">
      <c r="A91" s="3" t="s">
        <v>81</v>
      </c>
      <c r="B91" s="1">
        <v>36</v>
      </c>
      <c r="C91" s="1">
        <v>37</v>
      </c>
    </row>
    <row r="92" spans="1:3" x14ac:dyDescent="0.2">
      <c r="A92" s="3" t="s">
        <v>133</v>
      </c>
      <c r="B92" s="1">
        <v>62</v>
      </c>
      <c r="C92" s="1">
        <v>63</v>
      </c>
    </row>
    <row r="93" spans="1:3" x14ac:dyDescent="0.2">
      <c r="A93" s="3" t="s">
        <v>222</v>
      </c>
      <c r="B93" s="1">
        <v>106</v>
      </c>
      <c r="C93" s="1">
        <v>104</v>
      </c>
    </row>
    <row r="94" spans="1:3" x14ac:dyDescent="0.2">
      <c r="A94" s="3" t="s">
        <v>314</v>
      </c>
      <c r="B94" s="1">
        <v>152</v>
      </c>
      <c r="C94" s="1">
        <v>155</v>
      </c>
    </row>
    <row r="95" spans="1:3" x14ac:dyDescent="0.2">
      <c r="A95" s="3" t="s">
        <v>48</v>
      </c>
      <c r="B95" s="1">
        <v>20</v>
      </c>
      <c r="C95" s="1">
        <v>22</v>
      </c>
    </row>
    <row r="96" spans="1:3" x14ac:dyDescent="0.2">
      <c r="A96" s="3" t="s">
        <v>145</v>
      </c>
      <c r="B96" s="1">
        <v>68</v>
      </c>
      <c r="C96" s="1">
        <v>70</v>
      </c>
    </row>
    <row r="97" spans="1:3" x14ac:dyDescent="0.2">
      <c r="A97" s="3" t="s">
        <v>161</v>
      </c>
      <c r="B97" s="1">
        <v>76</v>
      </c>
      <c r="C97" s="1">
        <v>76</v>
      </c>
    </row>
    <row r="98" spans="1:3" x14ac:dyDescent="0.2">
      <c r="A98" s="3" t="s">
        <v>19</v>
      </c>
      <c r="B98" s="1">
        <v>6</v>
      </c>
      <c r="C98" s="1">
        <v>7</v>
      </c>
    </row>
    <row r="99" spans="1:3" x14ac:dyDescent="0.2">
      <c r="A99" s="3" t="s">
        <v>137</v>
      </c>
      <c r="B99" s="1">
        <v>64</v>
      </c>
      <c r="C99" s="1">
        <v>62</v>
      </c>
    </row>
    <row r="100" spans="1:3" x14ac:dyDescent="0.2">
      <c r="A100" s="3" t="s">
        <v>57</v>
      </c>
      <c r="B100" s="1">
        <v>24</v>
      </c>
      <c r="C100" s="1">
        <v>24</v>
      </c>
    </row>
    <row r="101" spans="1:3" x14ac:dyDescent="0.2">
      <c r="A101" s="3" t="s">
        <v>177</v>
      </c>
      <c r="B101" s="1">
        <v>84</v>
      </c>
      <c r="C101" s="1">
        <v>86</v>
      </c>
    </row>
    <row r="102" spans="1:3" x14ac:dyDescent="0.2">
      <c r="A102" s="3" t="s">
        <v>236</v>
      </c>
      <c r="B102" s="1">
        <v>113</v>
      </c>
      <c r="C102" s="1">
        <v>114</v>
      </c>
    </row>
    <row r="103" spans="1:3" x14ac:dyDescent="0.2">
      <c r="A103" s="3" t="s">
        <v>211</v>
      </c>
      <c r="B103" s="1">
        <v>101</v>
      </c>
      <c r="C103" s="1">
        <v>102</v>
      </c>
    </row>
    <row r="104" spans="1:3" x14ac:dyDescent="0.2">
      <c r="A104" s="3" t="s">
        <v>234</v>
      </c>
      <c r="B104" s="1">
        <v>112</v>
      </c>
      <c r="C104" s="1">
        <v>112</v>
      </c>
    </row>
    <row r="105" spans="1:3" x14ac:dyDescent="0.2">
      <c r="A105" s="3" t="s">
        <v>65</v>
      </c>
      <c r="B105" s="1">
        <v>28</v>
      </c>
      <c r="C105" s="1">
        <v>28</v>
      </c>
    </row>
    <row r="106" spans="1:3" x14ac:dyDescent="0.2">
      <c r="A106" s="3" t="s">
        <v>224</v>
      </c>
      <c r="B106" s="1">
        <v>107</v>
      </c>
      <c r="C106" s="1">
        <v>106</v>
      </c>
    </row>
    <row r="107" spans="1:3" x14ac:dyDescent="0.2">
      <c r="A107" s="3" t="s">
        <v>308</v>
      </c>
      <c r="B107" s="1">
        <v>149</v>
      </c>
      <c r="C107" s="1">
        <v>149</v>
      </c>
    </row>
    <row r="108" spans="1:3" x14ac:dyDescent="0.2">
      <c r="A108" s="3" t="s">
        <v>199</v>
      </c>
      <c r="B108" s="1">
        <v>95</v>
      </c>
      <c r="C108" s="1">
        <v>95</v>
      </c>
    </row>
    <row r="109" spans="1:3" x14ac:dyDescent="0.2">
      <c r="A109" s="3" t="s">
        <v>384</v>
      </c>
      <c r="B109" s="1">
        <v>187</v>
      </c>
      <c r="C109" s="1">
        <v>183</v>
      </c>
    </row>
    <row r="110" spans="1:3" x14ac:dyDescent="0.2">
      <c r="A110" s="3" t="s">
        <v>278</v>
      </c>
      <c r="B110" s="1">
        <v>134</v>
      </c>
      <c r="C110" s="1">
        <v>129</v>
      </c>
    </row>
    <row r="111" spans="1:3" x14ac:dyDescent="0.2">
      <c r="A111" s="3" t="s">
        <v>207</v>
      </c>
      <c r="B111" s="1">
        <v>99</v>
      </c>
      <c r="C111" s="1">
        <v>100</v>
      </c>
    </row>
    <row r="112" spans="1:3" x14ac:dyDescent="0.2">
      <c r="A112" s="3" t="s">
        <v>304</v>
      </c>
      <c r="B112" s="1">
        <v>147</v>
      </c>
      <c r="C112" s="1">
        <v>145</v>
      </c>
    </row>
    <row r="113" spans="1:3" x14ac:dyDescent="0.2">
      <c r="A113" s="3" t="s">
        <v>310</v>
      </c>
      <c r="B113" s="1">
        <v>150</v>
      </c>
      <c r="C113" s="1">
        <v>150</v>
      </c>
    </row>
    <row r="114" spans="1:3" x14ac:dyDescent="0.2">
      <c r="A114" s="3" t="s">
        <v>250</v>
      </c>
      <c r="B114" s="1">
        <v>120</v>
      </c>
      <c r="C114" s="1">
        <v>121</v>
      </c>
    </row>
    <row r="115" spans="1:3" x14ac:dyDescent="0.2">
      <c r="A115" s="3" t="s">
        <v>402</v>
      </c>
      <c r="B115" s="1">
        <v>196</v>
      </c>
      <c r="C115" s="1">
        <v>194</v>
      </c>
    </row>
    <row r="116" spans="1:3" x14ac:dyDescent="0.2">
      <c r="A116" s="3" t="s">
        <v>298</v>
      </c>
      <c r="B116" s="1">
        <v>144</v>
      </c>
      <c r="C116" s="1">
        <v>142</v>
      </c>
    </row>
    <row r="117" spans="1:3" x14ac:dyDescent="0.2">
      <c r="A117" s="3" t="s">
        <v>193</v>
      </c>
      <c r="B117" s="1">
        <v>92</v>
      </c>
      <c r="C117" s="1">
        <v>93</v>
      </c>
    </row>
    <row r="118" spans="1:3" x14ac:dyDescent="0.2">
      <c r="A118" s="3" t="s">
        <v>374</v>
      </c>
      <c r="B118" s="1">
        <v>182</v>
      </c>
      <c r="C118" s="1">
        <v>182</v>
      </c>
    </row>
    <row r="119" spans="1:3" x14ac:dyDescent="0.2">
      <c r="A119" s="3" t="s">
        <v>213</v>
      </c>
      <c r="B119" s="1">
        <v>102</v>
      </c>
      <c r="C119" s="1">
        <v>105</v>
      </c>
    </row>
    <row r="120" spans="1:3" x14ac:dyDescent="0.2">
      <c r="A120" s="3" t="s">
        <v>258</v>
      </c>
      <c r="B120" s="1">
        <v>124</v>
      </c>
      <c r="C120" s="1">
        <v>122</v>
      </c>
    </row>
    <row r="121" spans="1:3" x14ac:dyDescent="0.2">
      <c r="A121" s="3" t="s">
        <v>302</v>
      </c>
      <c r="B121" s="1">
        <v>146</v>
      </c>
      <c r="C121" s="1">
        <v>148</v>
      </c>
    </row>
    <row r="122" spans="1:3" x14ac:dyDescent="0.2">
      <c r="A122" s="3" t="s">
        <v>318</v>
      </c>
      <c r="B122" s="1">
        <v>154</v>
      </c>
      <c r="C122" s="1">
        <v>156</v>
      </c>
    </row>
    <row r="123" spans="1:3" x14ac:dyDescent="0.2">
      <c r="A123" s="3" t="s">
        <v>101</v>
      </c>
      <c r="B123" s="1">
        <v>46</v>
      </c>
      <c r="C123" s="1">
        <v>46</v>
      </c>
    </row>
    <row r="124" spans="1:3" x14ac:dyDescent="0.2">
      <c r="A124" s="3" t="s">
        <v>346</v>
      </c>
      <c r="B124" s="1">
        <v>168</v>
      </c>
      <c r="C124" s="1">
        <v>169</v>
      </c>
    </row>
    <row r="125" spans="1:3" x14ac:dyDescent="0.2">
      <c r="A125" s="3" t="s">
        <v>215</v>
      </c>
      <c r="B125" s="1">
        <v>103</v>
      </c>
      <c r="C125" s="1">
        <v>107</v>
      </c>
    </row>
    <row r="126" spans="1:3" x14ac:dyDescent="0.2">
      <c r="A126" s="3" t="s">
        <v>370</v>
      </c>
      <c r="B126" s="1">
        <v>180</v>
      </c>
      <c r="C126" s="1">
        <v>180</v>
      </c>
    </row>
    <row r="127" spans="1:3" x14ac:dyDescent="0.2">
      <c r="A127" s="3" t="s">
        <v>33</v>
      </c>
      <c r="B127" s="1">
        <v>13</v>
      </c>
      <c r="C127" s="1">
        <v>12</v>
      </c>
    </row>
    <row r="128" spans="1:3" x14ac:dyDescent="0.2">
      <c r="A128" s="3" t="s">
        <v>358</v>
      </c>
      <c r="B128" s="1">
        <v>174</v>
      </c>
      <c r="C128" s="1">
        <v>177</v>
      </c>
    </row>
    <row r="129" spans="1:3" x14ac:dyDescent="0.2">
      <c r="A129" s="3" t="s">
        <v>376</v>
      </c>
      <c r="B129" s="1">
        <v>183</v>
      </c>
      <c r="C129" s="1">
        <v>184</v>
      </c>
    </row>
    <row r="130" spans="1:3" x14ac:dyDescent="0.2">
      <c r="A130" s="3" t="s">
        <v>147</v>
      </c>
      <c r="B130" s="1">
        <v>69</v>
      </c>
      <c r="C130" s="1">
        <v>67</v>
      </c>
    </row>
    <row r="131" spans="1:3" x14ac:dyDescent="0.2">
      <c r="A131" s="3" t="s">
        <v>368</v>
      </c>
      <c r="B131" s="1">
        <v>179</v>
      </c>
      <c r="C131" s="1">
        <v>178</v>
      </c>
    </row>
    <row r="132" spans="1:3" x14ac:dyDescent="0.2">
      <c r="A132" s="3" t="s">
        <v>53</v>
      </c>
      <c r="B132" s="1">
        <v>22</v>
      </c>
      <c r="C132" s="1">
        <v>23</v>
      </c>
    </row>
    <row r="133" spans="1:3" x14ac:dyDescent="0.2">
      <c r="A133" s="3" t="s">
        <v>238</v>
      </c>
      <c r="B133" s="1">
        <v>114</v>
      </c>
      <c r="C133" s="1">
        <v>116</v>
      </c>
    </row>
    <row r="134" spans="1:3" x14ac:dyDescent="0.2">
      <c r="A134" s="3" t="s">
        <v>326</v>
      </c>
      <c r="B134" s="1">
        <v>158</v>
      </c>
      <c r="C134" s="1">
        <v>158</v>
      </c>
    </row>
    <row r="135" spans="1:3" x14ac:dyDescent="0.2">
      <c r="A135" s="3" t="s">
        <v>240</v>
      </c>
      <c r="B135" s="1">
        <v>115</v>
      </c>
      <c r="C135" s="1">
        <v>117</v>
      </c>
    </row>
    <row r="136" spans="1:3" x14ac:dyDescent="0.2">
      <c r="A136" s="3" t="s">
        <v>360</v>
      </c>
      <c r="B136" s="1">
        <v>175</v>
      </c>
      <c r="C136" s="1">
        <v>176</v>
      </c>
    </row>
    <row r="137" spans="1:3" x14ac:dyDescent="0.2">
      <c r="A137" s="3" t="s">
        <v>23</v>
      </c>
      <c r="B137" s="1">
        <v>8</v>
      </c>
      <c r="C137" s="1">
        <v>8</v>
      </c>
    </row>
    <row r="138" spans="1:3" x14ac:dyDescent="0.2">
      <c r="A138" s="3" t="s">
        <v>332</v>
      </c>
      <c r="B138" s="1">
        <v>161</v>
      </c>
      <c r="C138" s="1">
        <v>160</v>
      </c>
    </row>
    <row r="139" spans="1:3" x14ac:dyDescent="0.2">
      <c r="A139" s="3" t="s">
        <v>219</v>
      </c>
      <c r="B139" s="1">
        <v>105</v>
      </c>
      <c r="C139" s="1">
        <v>103</v>
      </c>
    </row>
    <row r="140" spans="1:3" x14ac:dyDescent="0.2">
      <c r="A140" s="3" t="s">
        <v>294</v>
      </c>
      <c r="B140" s="1">
        <v>142</v>
      </c>
      <c r="C140" s="1">
        <v>139</v>
      </c>
    </row>
    <row r="141" spans="1:3" x14ac:dyDescent="0.2">
      <c r="A141" s="3" t="s">
        <v>252</v>
      </c>
      <c r="B141" s="1">
        <v>121</v>
      </c>
      <c r="C141" s="1">
        <v>119</v>
      </c>
    </row>
    <row r="142" spans="1:3" x14ac:dyDescent="0.2">
      <c r="A142" s="3" t="s">
        <v>73</v>
      </c>
      <c r="B142" s="1">
        <v>32</v>
      </c>
      <c r="C142" s="1">
        <v>31</v>
      </c>
    </row>
    <row r="143" spans="1:3" x14ac:dyDescent="0.2">
      <c r="A143" s="3" t="s">
        <v>139</v>
      </c>
      <c r="B143" s="1">
        <v>65</v>
      </c>
      <c r="C143" s="1">
        <v>64</v>
      </c>
    </row>
    <row r="144" spans="1:3" x14ac:dyDescent="0.2">
      <c r="A144" s="3" t="s">
        <v>127</v>
      </c>
      <c r="B144" s="1">
        <v>59</v>
      </c>
      <c r="C144" s="1">
        <v>58</v>
      </c>
    </row>
    <row r="145" spans="1:3" x14ac:dyDescent="0.2">
      <c r="A145" s="3" t="s">
        <v>93</v>
      </c>
      <c r="B145" s="1">
        <v>42</v>
      </c>
      <c r="C145" s="1">
        <v>36</v>
      </c>
    </row>
    <row r="146" spans="1:3" x14ac:dyDescent="0.2">
      <c r="A146" s="3" t="s">
        <v>159</v>
      </c>
      <c r="B146" s="1">
        <v>75</v>
      </c>
      <c r="C146" s="1">
        <v>75</v>
      </c>
    </row>
    <row r="147" spans="1:3" x14ac:dyDescent="0.2">
      <c r="A147" s="3" t="s">
        <v>398</v>
      </c>
      <c r="B147" s="1">
        <v>194</v>
      </c>
      <c r="C147" s="1">
        <v>195</v>
      </c>
    </row>
    <row r="148" spans="1:3" x14ac:dyDescent="0.2">
      <c r="A148" s="3" t="s">
        <v>197</v>
      </c>
      <c r="B148" s="1">
        <v>94</v>
      </c>
      <c r="C148" s="1">
        <v>94</v>
      </c>
    </row>
    <row r="149" spans="1:3" x14ac:dyDescent="0.2">
      <c r="A149" s="3" t="s">
        <v>129</v>
      </c>
      <c r="B149" s="1">
        <v>60</v>
      </c>
      <c r="C149" s="1">
        <v>61</v>
      </c>
    </row>
    <row r="150" spans="1:3" x14ac:dyDescent="0.2">
      <c r="A150" s="3" t="s">
        <v>328</v>
      </c>
      <c r="B150" s="1">
        <v>159</v>
      </c>
      <c r="C150" s="1">
        <v>161</v>
      </c>
    </row>
    <row r="151" spans="1:3" x14ac:dyDescent="0.2">
      <c r="A151" s="3" t="s">
        <v>103</v>
      </c>
      <c r="B151" s="1">
        <v>47</v>
      </c>
      <c r="C151" s="1">
        <v>50</v>
      </c>
    </row>
    <row r="152" spans="1:3" x14ac:dyDescent="0.2">
      <c r="A152" s="3" t="s">
        <v>55</v>
      </c>
      <c r="B152" s="1">
        <v>23</v>
      </c>
      <c r="C152" s="1">
        <v>21</v>
      </c>
    </row>
    <row r="153" spans="1:3" x14ac:dyDescent="0.2">
      <c r="A153" s="3" t="s">
        <v>276</v>
      </c>
      <c r="B153" s="1">
        <v>133</v>
      </c>
      <c r="C153" s="1">
        <v>134</v>
      </c>
    </row>
    <row r="154" spans="1:3" x14ac:dyDescent="0.2">
      <c r="A154" s="3" t="s">
        <v>61</v>
      </c>
      <c r="B154" s="1">
        <v>26</v>
      </c>
      <c r="C154" s="1">
        <v>26</v>
      </c>
    </row>
    <row r="155" spans="1:3" x14ac:dyDescent="0.2">
      <c r="A155" s="3" t="s">
        <v>25</v>
      </c>
      <c r="B155" s="1">
        <v>9</v>
      </c>
      <c r="C155" s="1">
        <v>9</v>
      </c>
    </row>
    <row r="156" spans="1:3" x14ac:dyDescent="0.2">
      <c r="A156" s="3" t="s">
        <v>350</v>
      </c>
      <c r="B156" s="1">
        <v>170</v>
      </c>
      <c r="C156" s="1">
        <v>170</v>
      </c>
    </row>
    <row r="157" spans="1:3" x14ac:dyDescent="0.2">
      <c r="A157" s="3" t="s">
        <v>109</v>
      </c>
      <c r="B157" s="1">
        <v>50</v>
      </c>
      <c r="C157" s="1">
        <v>48</v>
      </c>
    </row>
    <row r="158" spans="1:3" x14ac:dyDescent="0.2">
      <c r="A158" s="3" t="s">
        <v>107</v>
      </c>
      <c r="B158" s="1">
        <v>49</v>
      </c>
      <c r="C158" s="1">
        <v>47</v>
      </c>
    </row>
    <row r="159" spans="1:3" x14ac:dyDescent="0.2">
      <c r="A159" s="3" t="s">
        <v>115</v>
      </c>
      <c r="B159" s="1">
        <v>53</v>
      </c>
      <c r="C159" s="1">
        <v>54</v>
      </c>
    </row>
    <row r="160" spans="1:3" x14ac:dyDescent="0.2">
      <c r="A160" s="3" t="s">
        <v>75</v>
      </c>
      <c r="B160" s="1">
        <v>33</v>
      </c>
      <c r="C160" s="1">
        <v>35</v>
      </c>
    </row>
    <row r="161" spans="1:3" x14ac:dyDescent="0.2">
      <c r="A161" s="3" t="s">
        <v>284</v>
      </c>
      <c r="B161" s="1">
        <v>137</v>
      </c>
      <c r="C161" s="1">
        <v>136</v>
      </c>
    </row>
    <row r="162" spans="1:3" x14ac:dyDescent="0.2">
      <c r="A162" s="3" t="s">
        <v>392</v>
      </c>
      <c r="B162" s="1">
        <v>191</v>
      </c>
      <c r="C162" s="1">
        <v>191</v>
      </c>
    </row>
    <row r="163" spans="1:3" x14ac:dyDescent="0.2">
      <c r="A163" s="3" t="s">
        <v>432</v>
      </c>
      <c r="B163" s="1">
        <v>211</v>
      </c>
      <c r="C163" s="1">
        <v>211</v>
      </c>
    </row>
    <row r="164" spans="1:3" x14ac:dyDescent="0.2">
      <c r="A164" s="3" t="s">
        <v>382</v>
      </c>
      <c r="B164" s="1">
        <v>186</v>
      </c>
      <c r="C164" s="1">
        <v>187</v>
      </c>
    </row>
    <row r="165" spans="1:3" x14ac:dyDescent="0.2">
      <c r="A165" s="3" t="s">
        <v>111</v>
      </c>
      <c r="B165" s="1">
        <v>51</v>
      </c>
      <c r="C165" s="1">
        <v>53</v>
      </c>
    </row>
    <row r="166" spans="1:3" x14ac:dyDescent="0.2">
      <c r="A166" s="3" t="s">
        <v>89</v>
      </c>
      <c r="B166" s="1">
        <v>40</v>
      </c>
      <c r="C166" s="1">
        <v>45</v>
      </c>
    </row>
    <row r="167" spans="1:3" x14ac:dyDescent="0.2">
      <c r="A167" s="3" t="s">
        <v>43</v>
      </c>
      <c r="B167" s="1">
        <v>18</v>
      </c>
      <c r="C167" s="1">
        <v>18</v>
      </c>
    </row>
    <row r="168" spans="1:3" x14ac:dyDescent="0.2">
      <c r="A168" s="3" t="s">
        <v>51</v>
      </c>
      <c r="B168" s="1">
        <v>21</v>
      </c>
      <c r="C168" s="1">
        <v>25</v>
      </c>
    </row>
    <row r="169" spans="1:3" x14ac:dyDescent="0.2">
      <c r="A169" s="3" t="s">
        <v>408</v>
      </c>
      <c r="B169" s="1">
        <v>199</v>
      </c>
      <c r="C169" s="1">
        <v>198</v>
      </c>
    </row>
    <row r="170" spans="1:3" x14ac:dyDescent="0.2">
      <c r="A170" s="3" t="s">
        <v>244</v>
      </c>
      <c r="B170" s="1">
        <v>117</v>
      </c>
      <c r="C170" s="1">
        <v>113</v>
      </c>
    </row>
    <row r="171" spans="1:3" x14ac:dyDescent="0.2">
      <c r="A171" s="3" t="s">
        <v>330</v>
      </c>
      <c r="B171" s="1">
        <v>160</v>
      </c>
      <c r="C171" s="1">
        <v>159</v>
      </c>
    </row>
    <row r="172" spans="1:3" x14ac:dyDescent="0.2">
      <c r="A172" s="3" t="s">
        <v>119</v>
      </c>
      <c r="B172" s="1">
        <v>55</v>
      </c>
      <c r="C172" s="1">
        <v>51</v>
      </c>
    </row>
    <row r="173" spans="1:3" x14ac:dyDescent="0.2">
      <c r="A173" s="3" t="s">
        <v>135</v>
      </c>
      <c r="B173" s="1">
        <v>63</v>
      </c>
      <c r="C173" s="1">
        <v>65</v>
      </c>
    </row>
    <row r="174" spans="1:3" x14ac:dyDescent="0.2">
      <c r="A174" s="3" t="s">
        <v>282</v>
      </c>
      <c r="B174" s="1">
        <v>136</v>
      </c>
      <c r="C174" s="1">
        <v>137</v>
      </c>
    </row>
    <row r="175" spans="1:3" x14ac:dyDescent="0.2">
      <c r="A175" s="3" t="s">
        <v>416</v>
      </c>
      <c r="B175" s="1">
        <v>203</v>
      </c>
      <c r="C175" s="1">
        <v>204</v>
      </c>
    </row>
    <row r="176" spans="1:3" x14ac:dyDescent="0.2">
      <c r="A176" s="3" t="s">
        <v>143</v>
      </c>
      <c r="B176" s="1">
        <v>67</v>
      </c>
      <c r="C176" s="1">
        <v>68</v>
      </c>
    </row>
    <row r="177" spans="1:3" x14ac:dyDescent="0.2">
      <c r="A177" s="3" t="s">
        <v>340</v>
      </c>
      <c r="B177" s="1">
        <v>165</v>
      </c>
      <c r="C177" s="1">
        <v>165</v>
      </c>
    </row>
    <row r="178" spans="1:3" x14ac:dyDescent="0.2">
      <c r="A178" s="3" t="s">
        <v>21</v>
      </c>
      <c r="B178" s="1">
        <v>7</v>
      </c>
      <c r="C178" s="1">
        <v>6</v>
      </c>
    </row>
    <row r="179" spans="1:3" x14ac:dyDescent="0.2">
      <c r="A179" s="3" t="s">
        <v>424</v>
      </c>
      <c r="B179" s="1">
        <v>207</v>
      </c>
      <c r="C179" s="1">
        <v>207</v>
      </c>
    </row>
    <row r="180" spans="1:3" x14ac:dyDescent="0.2">
      <c r="A180" s="3" t="s">
        <v>290</v>
      </c>
      <c r="B180" s="1">
        <v>140</v>
      </c>
      <c r="C180" s="1">
        <v>140</v>
      </c>
    </row>
    <row r="181" spans="1:3" x14ac:dyDescent="0.2">
      <c r="A181" s="3" t="s">
        <v>354</v>
      </c>
      <c r="B181" s="1">
        <v>172</v>
      </c>
      <c r="C181" s="1">
        <v>173</v>
      </c>
    </row>
    <row r="182" spans="1:3" x14ac:dyDescent="0.2">
      <c r="A182" s="3" t="s">
        <v>366</v>
      </c>
      <c r="B182" s="1">
        <v>178</v>
      </c>
      <c r="C182" s="1">
        <v>179</v>
      </c>
    </row>
    <row r="183" spans="1:3" x14ac:dyDescent="0.2">
      <c r="A183" s="3" t="s">
        <v>266</v>
      </c>
      <c r="B183" s="1">
        <v>128</v>
      </c>
      <c r="C183" s="1">
        <v>130</v>
      </c>
    </row>
    <row r="184" spans="1:3" x14ac:dyDescent="0.2">
      <c r="A184" s="3" t="s">
        <v>288</v>
      </c>
      <c r="B184" s="1">
        <v>139</v>
      </c>
      <c r="C184" s="1">
        <v>143</v>
      </c>
    </row>
    <row r="185" spans="1:3" x14ac:dyDescent="0.2">
      <c r="A185" s="3" t="s">
        <v>59</v>
      </c>
      <c r="B185" s="1">
        <v>25</v>
      </c>
      <c r="C185" s="1">
        <v>20</v>
      </c>
    </row>
    <row r="186" spans="1:3" x14ac:dyDescent="0.2">
      <c r="A186" s="3" t="s">
        <v>38</v>
      </c>
      <c r="B186" s="1">
        <v>15</v>
      </c>
      <c r="C186" s="1">
        <v>16</v>
      </c>
    </row>
    <row r="187" spans="1:3" x14ac:dyDescent="0.2">
      <c r="A187" s="3" t="s">
        <v>189</v>
      </c>
      <c r="B187" s="1">
        <v>90</v>
      </c>
      <c r="C187" s="1">
        <v>89</v>
      </c>
    </row>
    <row r="188" spans="1:3" x14ac:dyDescent="0.2">
      <c r="A188" s="3" t="s">
        <v>334</v>
      </c>
      <c r="B188" s="1">
        <v>162</v>
      </c>
      <c r="C188" s="1">
        <v>162</v>
      </c>
    </row>
    <row r="189" spans="1:3" x14ac:dyDescent="0.2">
      <c r="A189" s="3" t="s">
        <v>226</v>
      </c>
      <c r="B189" s="1">
        <v>108</v>
      </c>
      <c r="C189" s="1">
        <v>109</v>
      </c>
    </row>
    <row r="190" spans="1:3" x14ac:dyDescent="0.2">
      <c r="A190" s="3" t="s">
        <v>270</v>
      </c>
      <c r="B190" s="1">
        <v>130</v>
      </c>
      <c r="C190" s="1">
        <v>131</v>
      </c>
    </row>
    <row r="191" spans="1:3" x14ac:dyDescent="0.2">
      <c r="A191" s="3" t="s">
        <v>232</v>
      </c>
      <c r="B191" s="1">
        <v>111</v>
      </c>
      <c r="C191" s="1">
        <v>111</v>
      </c>
    </row>
    <row r="192" spans="1:3" x14ac:dyDescent="0.2">
      <c r="A192" s="3" t="s">
        <v>262</v>
      </c>
      <c r="B192" s="1">
        <v>126</v>
      </c>
      <c r="C192" s="1">
        <v>124</v>
      </c>
    </row>
    <row r="193" spans="1:3" x14ac:dyDescent="0.2">
      <c r="A193" s="3" t="s">
        <v>406</v>
      </c>
      <c r="B193" s="1">
        <v>198</v>
      </c>
      <c r="C193" s="1">
        <v>199</v>
      </c>
    </row>
    <row r="194" spans="1:3" x14ac:dyDescent="0.2">
      <c r="A194" s="3" t="s">
        <v>264</v>
      </c>
      <c r="B194" s="1">
        <v>127</v>
      </c>
      <c r="C194" s="1">
        <v>126</v>
      </c>
    </row>
    <row r="195" spans="1:3" x14ac:dyDescent="0.2">
      <c r="A195" s="3" t="s">
        <v>404</v>
      </c>
      <c r="B195" s="1">
        <v>197</v>
      </c>
      <c r="C195" s="1">
        <v>197</v>
      </c>
    </row>
    <row r="196" spans="1:3" x14ac:dyDescent="0.2">
      <c r="A196" s="3" t="s">
        <v>217</v>
      </c>
      <c r="B196" s="1">
        <v>104</v>
      </c>
      <c r="C196" s="1">
        <v>101</v>
      </c>
    </row>
    <row r="197" spans="1:3" x14ac:dyDescent="0.2">
      <c r="A197" s="3" t="s">
        <v>69</v>
      </c>
      <c r="B197" s="1">
        <v>30</v>
      </c>
      <c r="C197" s="1">
        <v>30</v>
      </c>
    </row>
    <row r="198" spans="1:3" x14ac:dyDescent="0.2">
      <c r="A198" s="3" t="s">
        <v>99</v>
      </c>
      <c r="B198" s="1">
        <v>45</v>
      </c>
      <c r="C198" s="1">
        <v>42</v>
      </c>
    </row>
    <row r="199" spans="1:3" x14ac:dyDescent="0.2">
      <c r="A199" s="3" t="s">
        <v>280</v>
      </c>
      <c r="B199" s="1">
        <v>135</v>
      </c>
      <c r="C199" s="1">
        <v>135</v>
      </c>
    </row>
    <row r="200" spans="1:3" x14ac:dyDescent="0.2">
      <c r="A200" s="3" t="s">
        <v>422</v>
      </c>
      <c r="B200" s="1">
        <v>206</v>
      </c>
      <c r="C200" s="1">
        <v>206</v>
      </c>
    </row>
    <row r="201" spans="1:3" x14ac:dyDescent="0.2">
      <c r="A201" s="3" t="s">
        <v>187</v>
      </c>
      <c r="B201" s="1">
        <v>89</v>
      </c>
      <c r="C201" s="1">
        <v>90</v>
      </c>
    </row>
    <row r="202" spans="1:3" x14ac:dyDescent="0.2">
      <c r="A202" s="3" t="s">
        <v>63</v>
      </c>
      <c r="B202" s="1">
        <v>27</v>
      </c>
      <c r="C202" s="1">
        <v>27</v>
      </c>
    </row>
    <row r="203" spans="1:3" x14ac:dyDescent="0.2">
      <c r="A203" s="3" t="s">
        <v>149</v>
      </c>
      <c r="B203" s="1">
        <v>70</v>
      </c>
      <c r="C203" s="1">
        <v>69</v>
      </c>
    </row>
    <row r="204" spans="1:3" x14ac:dyDescent="0.2">
      <c r="A204" s="3" t="s">
        <v>36</v>
      </c>
      <c r="B204" s="1">
        <v>14</v>
      </c>
      <c r="C204" s="1">
        <v>13</v>
      </c>
    </row>
    <row r="205" spans="1:3" x14ac:dyDescent="0.2">
      <c r="A205" s="3" t="s">
        <v>426</v>
      </c>
      <c r="B205" s="1">
        <v>208</v>
      </c>
      <c r="C205" s="1">
        <v>208</v>
      </c>
    </row>
    <row r="206" spans="1:3" x14ac:dyDescent="0.2">
      <c r="A206" s="3" t="s">
        <v>40</v>
      </c>
      <c r="B206" s="1">
        <v>16</v>
      </c>
      <c r="C206" s="1">
        <v>14</v>
      </c>
    </row>
    <row r="207" spans="1:3" x14ac:dyDescent="0.2">
      <c r="A207" s="3" t="s">
        <v>163</v>
      </c>
      <c r="B207" s="1">
        <v>77</v>
      </c>
      <c r="C207" s="1">
        <v>77</v>
      </c>
    </row>
    <row r="208" spans="1:3" x14ac:dyDescent="0.2">
      <c r="A208" s="3" t="s">
        <v>338</v>
      </c>
      <c r="B208" s="1">
        <v>164</v>
      </c>
      <c r="C208" s="1">
        <v>164</v>
      </c>
    </row>
    <row r="209" spans="1:3" x14ac:dyDescent="0.2">
      <c r="A209" s="3" t="s">
        <v>123</v>
      </c>
      <c r="B209" s="1">
        <v>57</v>
      </c>
      <c r="C209" s="1">
        <v>56</v>
      </c>
    </row>
    <row r="210" spans="1:3" x14ac:dyDescent="0.2">
      <c r="A210" s="3" t="s">
        <v>201</v>
      </c>
      <c r="B210" s="1">
        <v>96</v>
      </c>
      <c r="C210" s="1">
        <v>97</v>
      </c>
    </row>
    <row r="211" spans="1:3" x14ac:dyDescent="0.2">
      <c r="A211" s="3" t="s">
        <v>46</v>
      </c>
      <c r="B211" s="1">
        <v>19</v>
      </c>
      <c r="C211" s="1">
        <v>19</v>
      </c>
    </row>
    <row r="212" spans="1:3" x14ac:dyDescent="0.2">
      <c r="A212" s="3" t="s">
        <v>320</v>
      </c>
      <c r="B212" s="1">
        <v>155</v>
      </c>
      <c r="C212" s="1">
        <v>153</v>
      </c>
    </row>
    <row r="213" spans="1:3" x14ac:dyDescent="0.2">
      <c r="A213" s="3" t="s">
        <v>185</v>
      </c>
      <c r="B213" s="1">
        <v>88</v>
      </c>
      <c r="C213" s="1">
        <v>87</v>
      </c>
    </row>
    <row r="214" spans="1:3" x14ac:dyDescent="0.2">
      <c r="A214" s="3" t="s">
        <v>260</v>
      </c>
      <c r="B214" s="1">
        <v>125</v>
      </c>
      <c r="C214" s="1">
        <v>123</v>
      </c>
    </row>
    <row r="215" spans="1:3" x14ac:dyDescent="0.2">
      <c r="A215" s="3" t="s">
        <v>441</v>
      </c>
      <c r="B215" s="1">
        <v>22366</v>
      </c>
      <c r="C215" s="1">
        <v>22366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69F67-5CE3-1944-8714-DB1A98E931D5}">
  <dimension ref="A1:C215"/>
  <sheetViews>
    <sheetView workbookViewId="0">
      <selection activeCell="B3" sqref="B3"/>
    </sheetView>
  </sheetViews>
  <sheetFormatPr baseColWidth="10" defaultRowHeight="16" x14ac:dyDescent="0.2"/>
  <cols>
    <col min="1" max="1" width="25.6640625" bestFit="1" customWidth="1"/>
    <col min="2" max="2" width="12.33203125" bestFit="1" customWidth="1"/>
    <col min="3" max="3" width="20.33203125" bestFit="1" customWidth="1"/>
  </cols>
  <sheetData>
    <row r="1" spans="1:3" x14ac:dyDescent="0.2">
      <c r="A1" s="2" t="s">
        <v>2</v>
      </c>
      <c r="B1" t="s">
        <v>445</v>
      </c>
    </row>
    <row r="3" spans="1:3" x14ac:dyDescent="0.2">
      <c r="A3" s="2" t="s">
        <v>440</v>
      </c>
      <c r="B3" t="s">
        <v>443</v>
      </c>
      <c r="C3" t="s">
        <v>446</v>
      </c>
    </row>
    <row r="4" spans="1:3" x14ac:dyDescent="0.2">
      <c r="A4" s="3" t="s">
        <v>260</v>
      </c>
      <c r="B4" s="1">
        <v>1138.56</v>
      </c>
      <c r="C4" s="1">
        <v>1138.56</v>
      </c>
    </row>
    <row r="5" spans="1:3" x14ac:dyDescent="0.2">
      <c r="A5" s="3" t="s">
        <v>185</v>
      </c>
      <c r="B5" s="1">
        <v>1267.4100000000001</v>
      </c>
      <c r="C5" s="1">
        <v>1270.8</v>
      </c>
    </row>
    <row r="6" spans="1:3" x14ac:dyDescent="0.2">
      <c r="A6" s="3" t="s">
        <v>320</v>
      </c>
      <c r="B6" s="1">
        <v>1023.52</v>
      </c>
      <c r="C6" s="1">
        <v>1023.52</v>
      </c>
    </row>
    <row r="7" spans="1:3" x14ac:dyDescent="0.2">
      <c r="A7" s="3" t="s">
        <v>46</v>
      </c>
      <c r="B7" s="1">
        <v>1569.82</v>
      </c>
      <c r="C7" s="1">
        <v>1582.13</v>
      </c>
    </row>
    <row r="8" spans="1:3" x14ac:dyDescent="0.2">
      <c r="A8" s="3" t="s">
        <v>201</v>
      </c>
      <c r="B8" s="1">
        <v>1226.6500000000001</v>
      </c>
      <c r="C8" s="1">
        <v>1218.8399999999999</v>
      </c>
    </row>
    <row r="9" spans="1:3" x14ac:dyDescent="0.2">
      <c r="A9" s="3" t="s">
        <v>123</v>
      </c>
      <c r="B9" s="1">
        <v>1404.37</v>
      </c>
      <c r="C9" s="1">
        <v>1405.17</v>
      </c>
    </row>
    <row r="10" spans="1:3" x14ac:dyDescent="0.2">
      <c r="A10" s="3" t="s">
        <v>338</v>
      </c>
      <c r="B10" s="1">
        <v>985.62</v>
      </c>
      <c r="C10" s="1">
        <v>990.55</v>
      </c>
    </row>
    <row r="11" spans="1:3" x14ac:dyDescent="0.2">
      <c r="A11" s="3" t="s">
        <v>163</v>
      </c>
      <c r="B11" s="1">
        <v>1309.98</v>
      </c>
      <c r="C11" s="1">
        <v>1306.6300000000001</v>
      </c>
    </row>
    <row r="12" spans="1:3" x14ac:dyDescent="0.2">
      <c r="A12" s="3" t="s">
        <v>40</v>
      </c>
      <c r="B12" s="1">
        <v>1627.48</v>
      </c>
      <c r="C12" s="1">
        <v>1635.01</v>
      </c>
    </row>
    <row r="13" spans="1:3" x14ac:dyDescent="0.2">
      <c r="A13" s="3" t="s">
        <v>426</v>
      </c>
      <c r="B13" s="1">
        <v>823.97</v>
      </c>
      <c r="C13" s="1">
        <v>823.97</v>
      </c>
    </row>
    <row r="14" spans="1:3" x14ac:dyDescent="0.2">
      <c r="A14" s="3" t="s">
        <v>36</v>
      </c>
      <c r="B14" s="1">
        <v>1638.71</v>
      </c>
      <c r="C14" s="1">
        <v>1640.95</v>
      </c>
    </row>
    <row r="15" spans="1:3" x14ac:dyDescent="0.2">
      <c r="A15" s="3" t="s">
        <v>149</v>
      </c>
      <c r="B15" s="1">
        <v>1337.57</v>
      </c>
      <c r="C15" s="1">
        <v>1346.09</v>
      </c>
    </row>
    <row r="16" spans="1:3" x14ac:dyDescent="0.2">
      <c r="A16" s="3" t="s">
        <v>63</v>
      </c>
      <c r="B16" s="1">
        <v>1536.99</v>
      </c>
      <c r="C16" s="1">
        <v>1542.79</v>
      </c>
    </row>
    <row r="17" spans="1:3" x14ac:dyDescent="0.2">
      <c r="A17" s="3" t="s">
        <v>187</v>
      </c>
      <c r="B17" s="1">
        <v>1260.69</v>
      </c>
      <c r="C17" s="1">
        <v>1264.56</v>
      </c>
    </row>
    <row r="18" spans="1:3" x14ac:dyDescent="0.2">
      <c r="A18" s="3" t="s">
        <v>422</v>
      </c>
      <c r="B18" s="1">
        <v>832</v>
      </c>
      <c r="C18" s="1">
        <v>832</v>
      </c>
    </row>
    <row r="19" spans="1:3" x14ac:dyDescent="0.2">
      <c r="A19" s="3" t="s">
        <v>280</v>
      </c>
      <c r="B19" s="1">
        <v>1100.47</v>
      </c>
      <c r="C19" s="1">
        <v>1100.47</v>
      </c>
    </row>
    <row r="20" spans="1:3" x14ac:dyDescent="0.2">
      <c r="A20" s="3" t="s">
        <v>99</v>
      </c>
      <c r="B20" s="1">
        <v>1460.14</v>
      </c>
      <c r="C20" s="1">
        <v>1475.13</v>
      </c>
    </row>
    <row r="21" spans="1:3" x14ac:dyDescent="0.2">
      <c r="A21" s="3" t="s">
        <v>69</v>
      </c>
      <c r="B21" s="1">
        <v>1507.54</v>
      </c>
      <c r="C21" s="1">
        <v>1507.86</v>
      </c>
    </row>
    <row r="22" spans="1:3" x14ac:dyDescent="0.2">
      <c r="A22" s="3" t="s">
        <v>217</v>
      </c>
      <c r="B22" s="1">
        <v>1195.29</v>
      </c>
      <c r="C22" s="1">
        <v>1205.8499999999999</v>
      </c>
    </row>
    <row r="23" spans="1:3" x14ac:dyDescent="0.2">
      <c r="A23" s="3" t="s">
        <v>404</v>
      </c>
      <c r="B23" s="1">
        <v>861.81</v>
      </c>
      <c r="C23" s="1">
        <v>861.81</v>
      </c>
    </row>
    <row r="24" spans="1:3" x14ac:dyDescent="0.2">
      <c r="A24" s="3" t="s">
        <v>264</v>
      </c>
      <c r="B24" s="1">
        <v>1128.92</v>
      </c>
      <c r="C24" s="1">
        <v>1130.22</v>
      </c>
    </row>
    <row r="25" spans="1:3" x14ac:dyDescent="0.2">
      <c r="A25" s="3" t="s">
        <v>406</v>
      </c>
      <c r="B25" s="1">
        <v>860.06</v>
      </c>
      <c r="C25" s="1">
        <v>860.06</v>
      </c>
    </row>
    <row r="26" spans="1:3" x14ac:dyDescent="0.2">
      <c r="A26" s="3" t="s">
        <v>262</v>
      </c>
      <c r="B26" s="1">
        <v>1137.47</v>
      </c>
      <c r="C26" s="1">
        <v>1137.47</v>
      </c>
    </row>
    <row r="27" spans="1:3" x14ac:dyDescent="0.2">
      <c r="A27" s="3" t="s">
        <v>232</v>
      </c>
      <c r="B27" s="1">
        <v>1174.92</v>
      </c>
      <c r="C27" s="1">
        <v>1170.69</v>
      </c>
    </row>
    <row r="28" spans="1:3" x14ac:dyDescent="0.2">
      <c r="A28" s="3" t="s">
        <v>270</v>
      </c>
      <c r="B28" s="1">
        <v>1119.8900000000001</v>
      </c>
      <c r="C28" s="1">
        <v>1121.9100000000001</v>
      </c>
    </row>
    <row r="29" spans="1:3" x14ac:dyDescent="0.2">
      <c r="A29" s="3" t="s">
        <v>226</v>
      </c>
      <c r="B29" s="1">
        <v>1185.7</v>
      </c>
      <c r="C29" s="1">
        <v>1179.0999999999999</v>
      </c>
    </row>
    <row r="30" spans="1:3" x14ac:dyDescent="0.2">
      <c r="A30" s="3" t="s">
        <v>334</v>
      </c>
      <c r="B30" s="1">
        <v>995.11</v>
      </c>
      <c r="C30" s="1">
        <v>995.11</v>
      </c>
    </row>
    <row r="31" spans="1:3" x14ac:dyDescent="0.2">
      <c r="A31" s="3" t="s">
        <v>189</v>
      </c>
      <c r="B31" s="1">
        <v>1255.92</v>
      </c>
      <c r="C31" s="1">
        <v>1265.03</v>
      </c>
    </row>
    <row r="32" spans="1:3" x14ac:dyDescent="0.2">
      <c r="A32" s="3" t="s">
        <v>38</v>
      </c>
      <c r="B32" s="1">
        <v>1635.92</v>
      </c>
      <c r="C32" s="1">
        <v>1621.43</v>
      </c>
    </row>
    <row r="33" spans="1:3" x14ac:dyDescent="0.2">
      <c r="A33" s="3" t="s">
        <v>59</v>
      </c>
      <c r="B33" s="1">
        <v>1553.33</v>
      </c>
      <c r="C33" s="1">
        <v>1563.44</v>
      </c>
    </row>
    <row r="34" spans="1:3" x14ac:dyDescent="0.2">
      <c r="A34" s="3" t="s">
        <v>288</v>
      </c>
      <c r="B34" s="1">
        <v>1077.3</v>
      </c>
      <c r="C34" s="1">
        <v>1072.24</v>
      </c>
    </row>
    <row r="35" spans="1:3" x14ac:dyDescent="0.2">
      <c r="A35" s="3" t="s">
        <v>266</v>
      </c>
      <c r="B35" s="1">
        <v>1127.3399999999999</v>
      </c>
      <c r="C35" s="1">
        <v>1124.9100000000001</v>
      </c>
    </row>
    <row r="36" spans="1:3" x14ac:dyDescent="0.2">
      <c r="A36" s="3" t="s">
        <v>366</v>
      </c>
      <c r="B36" s="1">
        <v>945.25</v>
      </c>
      <c r="C36" s="1">
        <v>939.97</v>
      </c>
    </row>
    <row r="37" spans="1:3" x14ac:dyDescent="0.2">
      <c r="A37" s="3" t="s">
        <v>354</v>
      </c>
      <c r="B37" s="1">
        <v>965.66</v>
      </c>
      <c r="C37" s="1">
        <v>965.66</v>
      </c>
    </row>
    <row r="38" spans="1:3" x14ac:dyDescent="0.2">
      <c r="A38" s="3" t="s">
        <v>290</v>
      </c>
      <c r="B38" s="1">
        <v>1076.9100000000001</v>
      </c>
      <c r="C38" s="1">
        <v>1076.9100000000001</v>
      </c>
    </row>
    <row r="39" spans="1:3" x14ac:dyDescent="0.2">
      <c r="A39" s="3" t="s">
        <v>424</v>
      </c>
      <c r="B39" s="1">
        <v>825.25</v>
      </c>
      <c r="C39" s="1">
        <v>825.25</v>
      </c>
    </row>
    <row r="40" spans="1:3" x14ac:dyDescent="0.2">
      <c r="A40" s="3" t="s">
        <v>21</v>
      </c>
      <c r="B40" s="1">
        <v>1715.22</v>
      </c>
      <c r="C40" s="1">
        <v>1716.93</v>
      </c>
    </row>
    <row r="41" spans="1:3" x14ac:dyDescent="0.2">
      <c r="A41" s="3" t="s">
        <v>340</v>
      </c>
      <c r="B41" s="1">
        <v>983.99</v>
      </c>
      <c r="C41" s="1">
        <v>983.99</v>
      </c>
    </row>
    <row r="42" spans="1:3" x14ac:dyDescent="0.2">
      <c r="A42" s="3" t="s">
        <v>143</v>
      </c>
      <c r="B42" s="1">
        <v>1349.59</v>
      </c>
      <c r="C42" s="1">
        <v>1350.55</v>
      </c>
    </row>
    <row r="43" spans="1:3" x14ac:dyDescent="0.2">
      <c r="A43" s="3" t="s">
        <v>416</v>
      </c>
      <c r="B43" s="1">
        <v>854.72</v>
      </c>
      <c r="C43" s="1">
        <v>854.72</v>
      </c>
    </row>
    <row r="44" spans="1:3" x14ac:dyDescent="0.2">
      <c r="A44" s="3" t="s">
        <v>282</v>
      </c>
      <c r="B44" s="1">
        <v>1095.7</v>
      </c>
      <c r="C44" s="1">
        <v>1092.56</v>
      </c>
    </row>
    <row r="45" spans="1:3" x14ac:dyDescent="0.2">
      <c r="A45" s="3" t="s">
        <v>135</v>
      </c>
      <c r="B45" s="1">
        <v>1384.04</v>
      </c>
      <c r="C45" s="1">
        <v>1372.48</v>
      </c>
    </row>
    <row r="46" spans="1:3" x14ac:dyDescent="0.2">
      <c r="A46" s="3" t="s">
        <v>119</v>
      </c>
      <c r="B46" s="1">
        <v>1425.59</v>
      </c>
      <c r="C46" s="1">
        <v>1439.99</v>
      </c>
    </row>
    <row r="47" spans="1:3" x14ac:dyDescent="0.2">
      <c r="A47" s="3" t="s">
        <v>330</v>
      </c>
      <c r="B47" s="1">
        <v>1003.5</v>
      </c>
      <c r="C47" s="1">
        <v>1004.75</v>
      </c>
    </row>
    <row r="48" spans="1:3" x14ac:dyDescent="0.2">
      <c r="A48" s="3" t="s">
        <v>244</v>
      </c>
      <c r="B48" s="1">
        <v>1160.31</v>
      </c>
      <c r="C48" s="1">
        <v>1169.71</v>
      </c>
    </row>
    <row r="49" spans="1:3" x14ac:dyDescent="0.2">
      <c r="A49" s="3" t="s">
        <v>408</v>
      </c>
      <c r="B49" s="1">
        <v>859.56</v>
      </c>
      <c r="C49" s="1">
        <v>860.48</v>
      </c>
    </row>
    <row r="50" spans="1:3" x14ac:dyDescent="0.2">
      <c r="A50" s="3" t="s">
        <v>51</v>
      </c>
      <c r="B50" s="1">
        <v>1563.62</v>
      </c>
      <c r="C50" s="1">
        <v>1549.53</v>
      </c>
    </row>
    <row r="51" spans="1:3" x14ac:dyDescent="0.2">
      <c r="A51" s="3" t="s">
        <v>43</v>
      </c>
      <c r="B51" s="1">
        <v>1584.38</v>
      </c>
      <c r="C51" s="1">
        <v>1584.59</v>
      </c>
    </row>
    <row r="52" spans="1:3" x14ac:dyDescent="0.2">
      <c r="A52" s="3" t="s">
        <v>89</v>
      </c>
      <c r="B52" s="1">
        <v>1479.53</v>
      </c>
      <c r="C52" s="1">
        <v>1462.96</v>
      </c>
    </row>
    <row r="53" spans="1:3" x14ac:dyDescent="0.2">
      <c r="A53" s="3" t="s">
        <v>111</v>
      </c>
      <c r="B53" s="1">
        <v>1437.78</v>
      </c>
      <c r="C53" s="1">
        <v>1435.74</v>
      </c>
    </row>
    <row r="54" spans="1:3" x14ac:dyDescent="0.2">
      <c r="A54" s="3" t="s">
        <v>382</v>
      </c>
      <c r="B54" s="1">
        <v>908.18</v>
      </c>
      <c r="C54" s="1">
        <v>908.18</v>
      </c>
    </row>
    <row r="55" spans="1:3" x14ac:dyDescent="0.2">
      <c r="A55" s="3" t="s">
        <v>432</v>
      </c>
      <c r="B55" s="1">
        <v>762.22</v>
      </c>
      <c r="C55" s="1">
        <v>763.82</v>
      </c>
    </row>
    <row r="56" spans="1:3" x14ac:dyDescent="0.2">
      <c r="A56" s="3" t="s">
        <v>392</v>
      </c>
      <c r="B56" s="1">
        <v>894.26</v>
      </c>
      <c r="C56" s="1">
        <v>894.26</v>
      </c>
    </row>
    <row r="57" spans="1:3" x14ac:dyDescent="0.2">
      <c r="A57" s="3" t="s">
        <v>284</v>
      </c>
      <c r="B57" s="1">
        <v>1093.6600000000001</v>
      </c>
      <c r="C57" s="1">
        <v>1095.04</v>
      </c>
    </row>
    <row r="58" spans="1:3" x14ac:dyDescent="0.2">
      <c r="A58" s="3" t="s">
        <v>75</v>
      </c>
      <c r="B58" s="1">
        <v>1496.11</v>
      </c>
      <c r="C58" s="1">
        <v>1493.42</v>
      </c>
    </row>
    <row r="59" spans="1:3" x14ac:dyDescent="0.2">
      <c r="A59" s="3" t="s">
        <v>115</v>
      </c>
      <c r="B59" s="1">
        <v>1434.68</v>
      </c>
      <c r="C59" s="1">
        <v>1427.84</v>
      </c>
    </row>
    <row r="60" spans="1:3" x14ac:dyDescent="0.2">
      <c r="A60" s="3" t="s">
        <v>107</v>
      </c>
      <c r="B60" s="1">
        <v>1440.19</v>
      </c>
      <c r="C60" s="1">
        <v>1442.48</v>
      </c>
    </row>
    <row r="61" spans="1:3" x14ac:dyDescent="0.2">
      <c r="A61" s="3" t="s">
        <v>109</v>
      </c>
      <c r="B61" s="1">
        <v>1439.89</v>
      </c>
      <c r="C61" s="1">
        <v>1441.97</v>
      </c>
    </row>
    <row r="62" spans="1:3" x14ac:dyDescent="0.2">
      <c r="A62" s="3" t="s">
        <v>350</v>
      </c>
      <c r="B62" s="1">
        <v>974.32</v>
      </c>
      <c r="C62" s="1">
        <v>974.32</v>
      </c>
    </row>
    <row r="63" spans="1:3" x14ac:dyDescent="0.2">
      <c r="A63" s="3" t="s">
        <v>25</v>
      </c>
      <c r="B63" s="1">
        <v>1676.56</v>
      </c>
      <c r="C63" s="1">
        <v>1678.65</v>
      </c>
    </row>
    <row r="64" spans="1:3" x14ac:dyDescent="0.2">
      <c r="A64" s="3" t="s">
        <v>61</v>
      </c>
      <c r="B64" s="1">
        <v>1548.59</v>
      </c>
      <c r="C64" s="1">
        <v>1546.18</v>
      </c>
    </row>
    <row r="65" spans="1:3" x14ac:dyDescent="0.2">
      <c r="A65" s="3" t="s">
        <v>276</v>
      </c>
      <c r="B65" s="1">
        <v>1115.1300000000001</v>
      </c>
      <c r="C65" s="1">
        <v>1115.1300000000001</v>
      </c>
    </row>
    <row r="66" spans="1:3" x14ac:dyDescent="0.2">
      <c r="A66" s="3" t="s">
        <v>55</v>
      </c>
      <c r="B66" s="1">
        <v>1561.01</v>
      </c>
      <c r="C66" s="1">
        <v>1562.24</v>
      </c>
    </row>
    <row r="67" spans="1:3" x14ac:dyDescent="0.2">
      <c r="A67" s="3" t="s">
        <v>103</v>
      </c>
      <c r="B67" s="1">
        <v>1448.77</v>
      </c>
      <c r="C67" s="1">
        <v>1440.13</v>
      </c>
    </row>
    <row r="68" spans="1:3" x14ac:dyDescent="0.2">
      <c r="A68" s="3" t="s">
        <v>328</v>
      </c>
      <c r="B68" s="1">
        <v>1007.46</v>
      </c>
      <c r="C68" s="1">
        <v>997.6</v>
      </c>
    </row>
    <row r="69" spans="1:3" x14ac:dyDescent="0.2">
      <c r="A69" s="3" t="s">
        <v>129</v>
      </c>
      <c r="B69" s="1">
        <v>1393.28</v>
      </c>
      <c r="C69" s="1">
        <v>1389.27</v>
      </c>
    </row>
    <row r="70" spans="1:3" x14ac:dyDescent="0.2">
      <c r="A70" s="3" t="s">
        <v>197</v>
      </c>
      <c r="B70" s="1">
        <v>1233.72</v>
      </c>
      <c r="C70" s="1">
        <v>1233.72</v>
      </c>
    </row>
    <row r="71" spans="1:3" x14ac:dyDescent="0.2">
      <c r="A71" s="3" t="s">
        <v>398</v>
      </c>
      <c r="B71" s="1">
        <v>866.81</v>
      </c>
      <c r="C71" s="1">
        <v>866.81</v>
      </c>
    </row>
    <row r="72" spans="1:3" x14ac:dyDescent="0.2">
      <c r="A72" s="3" t="s">
        <v>159</v>
      </c>
      <c r="B72" s="1">
        <v>1320.29</v>
      </c>
      <c r="C72" s="1">
        <v>1323.03</v>
      </c>
    </row>
    <row r="73" spans="1:3" x14ac:dyDescent="0.2">
      <c r="A73" s="3" t="s">
        <v>93</v>
      </c>
      <c r="B73" s="1">
        <v>1473.04</v>
      </c>
      <c r="C73" s="1">
        <v>1488.57</v>
      </c>
    </row>
    <row r="74" spans="1:3" x14ac:dyDescent="0.2">
      <c r="A74" s="3" t="s">
        <v>127</v>
      </c>
      <c r="B74" s="1">
        <v>1396.55</v>
      </c>
      <c r="C74" s="1">
        <v>1399.1</v>
      </c>
    </row>
    <row r="75" spans="1:3" x14ac:dyDescent="0.2">
      <c r="A75" s="3" t="s">
        <v>139</v>
      </c>
      <c r="B75" s="1">
        <v>1358.51</v>
      </c>
      <c r="C75" s="1">
        <v>1375.2</v>
      </c>
    </row>
    <row r="76" spans="1:3" x14ac:dyDescent="0.2">
      <c r="A76" s="3" t="s">
        <v>73</v>
      </c>
      <c r="B76" s="1">
        <v>1498.47</v>
      </c>
      <c r="C76" s="1">
        <v>1504.7</v>
      </c>
    </row>
    <row r="77" spans="1:3" x14ac:dyDescent="0.2">
      <c r="A77" s="3" t="s">
        <v>252</v>
      </c>
      <c r="B77" s="1">
        <v>1152.8</v>
      </c>
      <c r="C77" s="1">
        <v>1155.23</v>
      </c>
    </row>
    <row r="78" spans="1:3" x14ac:dyDescent="0.2">
      <c r="A78" s="3" t="s">
        <v>294</v>
      </c>
      <c r="B78" s="1">
        <v>1071.83</v>
      </c>
      <c r="C78" s="1">
        <v>1079.18</v>
      </c>
    </row>
    <row r="79" spans="1:3" x14ac:dyDescent="0.2">
      <c r="A79" s="3" t="s">
        <v>219</v>
      </c>
      <c r="B79" s="1">
        <v>1193.98</v>
      </c>
      <c r="C79" s="1">
        <v>1198.96</v>
      </c>
    </row>
    <row r="80" spans="1:3" x14ac:dyDescent="0.2">
      <c r="A80" s="3" t="s">
        <v>332</v>
      </c>
      <c r="B80" s="1">
        <v>995.58</v>
      </c>
      <c r="C80" s="1">
        <v>999.7</v>
      </c>
    </row>
    <row r="81" spans="1:3" x14ac:dyDescent="0.2">
      <c r="A81" s="3" t="s">
        <v>23</v>
      </c>
      <c r="B81" s="1">
        <v>1694.51</v>
      </c>
      <c r="C81" s="1">
        <v>1679.41</v>
      </c>
    </row>
    <row r="82" spans="1:3" x14ac:dyDescent="0.2">
      <c r="A82" s="3" t="s">
        <v>360</v>
      </c>
      <c r="B82" s="1">
        <v>954.86</v>
      </c>
      <c r="C82" s="1">
        <v>950.45</v>
      </c>
    </row>
    <row r="83" spans="1:3" x14ac:dyDescent="0.2">
      <c r="A83" s="3" t="s">
        <v>240</v>
      </c>
      <c r="B83" s="1">
        <v>1164.1300000000001</v>
      </c>
      <c r="C83" s="1">
        <v>1164.1300000000001</v>
      </c>
    </row>
    <row r="84" spans="1:3" x14ac:dyDescent="0.2">
      <c r="A84" s="3" t="s">
        <v>326</v>
      </c>
      <c r="B84" s="1">
        <v>1007.89</v>
      </c>
      <c r="C84" s="1">
        <v>1011.91</v>
      </c>
    </row>
    <row r="85" spans="1:3" x14ac:dyDescent="0.2">
      <c r="A85" s="3" t="s">
        <v>238</v>
      </c>
      <c r="B85" s="1">
        <v>1165.22</v>
      </c>
      <c r="C85" s="1">
        <v>1165.4100000000001</v>
      </c>
    </row>
    <row r="86" spans="1:3" x14ac:dyDescent="0.2">
      <c r="A86" s="3" t="s">
        <v>53</v>
      </c>
      <c r="B86" s="1">
        <v>1563.5</v>
      </c>
      <c r="C86" s="1">
        <v>1558.35</v>
      </c>
    </row>
    <row r="87" spans="1:3" x14ac:dyDescent="0.2">
      <c r="A87" s="3" t="s">
        <v>368</v>
      </c>
      <c r="B87" s="1">
        <v>940.78</v>
      </c>
      <c r="C87" s="1">
        <v>940.78</v>
      </c>
    </row>
    <row r="88" spans="1:3" x14ac:dyDescent="0.2">
      <c r="A88" s="3" t="s">
        <v>147</v>
      </c>
      <c r="B88" s="1">
        <v>1341.03</v>
      </c>
      <c r="C88" s="1">
        <v>1354.59</v>
      </c>
    </row>
    <row r="89" spans="1:3" x14ac:dyDescent="0.2">
      <c r="A89" s="3" t="s">
        <v>376</v>
      </c>
      <c r="B89" s="1">
        <v>913.55</v>
      </c>
      <c r="C89" s="1">
        <v>913.55</v>
      </c>
    </row>
    <row r="90" spans="1:3" x14ac:dyDescent="0.2">
      <c r="A90" s="3" t="s">
        <v>358</v>
      </c>
      <c r="B90" s="1">
        <v>961.23</v>
      </c>
      <c r="C90" s="1">
        <v>944.96</v>
      </c>
    </row>
    <row r="91" spans="1:3" x14ac:dyDescent="0.2">
      <c r="A91" s="3" t="s">
        <v>33</v>
      </c>
      <c r="B91" s="1">
        <v>1644.89</v>
      </c>
      <c r="C91" s="1">
        <v>1649.57</v>
      </c>
    </row>
    <row r="92" spans="1:3" x14ac:dyDescent="0.2">
      <c r="A92" s="3" t="s">
        <v>370</v>
      </c>
      <c r="B92" s="1">
        <v>932.02</v>
      </c>
      <c r="C92" s="1">
        <v>932.02</v>
      </c>
    </row>
    <row r="93" spans="1:3" x14ac:dyDescent="0.2">
      <c r="A93" s="3" t="s">
        <v>215</v>
      </c>
      <c r="B93" s="1">
        <v>1197.58</v>
      </c>
      <c r="C93" s="1">
        <v>1181.8599999999999</v>
      </c>
    </row>
    <row r="94" spans="1:3" x14ac:dyDescent="0.2">
      <c r="A94" s="3" t="s">
        <v>346</v>
      </c>
      <c r="B94" s="1">
        <v>977.92</v>
      </c>
      <c r="C94" s="1">
        <v>974.68</v>
      </c>
    </row>
    <row r="95" spans="1:3" x14ac:dyDescent="0.2">
      <c r="A95" s="3" t="s">
        <v>101</v>
      </c>
      <c r="B95" s="1">
        <v>1448.85</v>
      </c>
      <c r="C95" s="1">
        <v>1442.88</v>
      </c>
    </row>
    <row r="96" spans="1:3" x14ac:dyDescent="0.2">
      <c r="A96" s="3" t="s">
        <v>318</v>
      </c>
      <c r="B96" s="1">
        <v>1026.0899999999999</v>
      </c>
      <c r="C96" s="1">
        <v>1018.25</v>
      </c>
    </row>
    <row r="97" spans="1:3" x14ac:dyDescent="0.2">
      <c r="A97" s="3" t="s">
        <v>302</v>
      </c>
      <c r="B97" s="1">
        <v>1062.32</v>
      </c>
      <c r="C97" s="1">
        <v>1057.5899999999999</v>
      </c>
    </row>
    <row r="98" spans="1:3" x14ac:dyDescent="0.2">
      <c r="A98" s="3" t="s">
        <v>258</v>
      </c>
      <c r="B98" s="1">
        <v>1144.97</v>
      </c>
      <c r="C98" s="1">
        <v>1144.77</v>
      </c>
    </row>
    <row r="99" spans="1:3" x14ac:dyDescent="0.2">
      <c r="A99" s="3" t="s">
        <v>213</v>
      </c>
      <c r="B99" s="1">
        <v>1200.74</v>
      </c>
      <c r="C99" s="1">
        <v>1193.78</v>
      </c>
    </row>
    <row r="100" spans="1:3" x14ac:dyDescent="0.2">
      <c r="A100" s="3" t="s">
        <v>374</v>
      </c>
      <c r="B100" s="1">
        <v>922.1</v>
      </c>
      <c r="C100" s="1">
        <v>922.1</v>
      </c>
    </row>
    <row r="101" spans="1:3" x14ac:dyDescent="0.2">
      <c r="A101" s="3" t="s">
        <v>193</v>
      </c>
      <c r="B101" s="1">
        <v>1243.8</v>
      </c>
      <c r="C101" s="1">
        <v>1235.3599999999999</v>
      </c>
    </row>
    <row r="102" spans="1:3" x14ac:dyDescent="0.2">
      <c r="A102" s="3" t="s">
        <v>298</v>
      </c>
      <c r="B102" s="1">
        <v>1069.75</v>
      </c>
      <c r="C102" s="1">
        <v>1074.08</v>
      </c>
    </row>
    <row r="103" spans="1:3" x14ac:dyDescent="0.2">
      <c r="A103" s="3" t="s">
        <v>402</v>
      </c>
      <c r="B103" s="1">
        <v>862.39</v>
      </c>
      <c r="C103" s="1">
        <v>873.99</v>
      </c>
    </row>
    <row r="104" spans="1:3" x14ac:dyDescent="0.2">
      <c r="A104" s="3" t="s">
        <v>250</v>
      </c>
      <c r="B104" s="1">
        <v>1154.25</v>
      </c>
      <c r="C104" s="1">
        <v>1148.3599999999999</v>
      </c>
    </row>
    <row r="105" spans="1:3" x14ac:dyDescent="0.2">
      <c r="A105" s="3" t="s">
        <v>310</v>
      </c>
      <c r="B105" s="1">
        <v>1049.6600000000001</v>
      </c>
      <c r="C105" s="1">
        <v>1051.25</v>
      </c>
    </row>
    <row r="106" spans="1:3" x14ac:dyDescent="0.2">
      <c r="A106" s="3" t="s">
        <v>304</v>
      </c>
      <c r="B106" s="1">
        <v>1061.4000000000001</v>
      </c>
      <c r="C106" s="1">
        <v>1061.4000000000001</v>
      </c>
    </row>
    <row r="107" spans="1:3" x14ac:dyDescent="0.2">
      <c r="A107" s="3" t="s">
        <v>207</v>
      </c>
      <c r="B107" s="1">
        <v>1211.71</v>
      </c>
      <c r="C107" s="1">
        <v>1211.71</v>
      </c>
    </row>
    <row r="108" spans="1:3" x14ac:dyDescent="0.2">
      <c r="A108" s="3" t="s">
        <v>278</v>
      </c>
      <c r="B108" s="1">
        <v>1114.21</v>
      </c>
      <c r="C108" s="1">
        <v>1125.3599999999999</v>
      </c>
    </row>
    <row r="109" spans="1:3" x14ac:dyDescent="0.2">
      <c r="A109" s="3" t="s">
        <v>384</v>
      </c>
      <c r="B109" s="1">
        <v>905.51</v>
      </c>
      <c r="C109" s="1">
        <v>914.66</v>
      </c>
    </row>
    <row r="110" spans="1:3" x14ac:dyDescent="0.2">
      <c r="A110" s="3" t="s">
        <v>199</v>
      </c>
      <c r="B110" s="1">
        <v>1230.22</v>
      </c>
      <c r="C110" s="1">
        <v>1232.9100000000001</v>
      </c>
    </row>
    <row r="111" spans="1:3" x14ac:dyDescent="0.2">
      <c r="A111" s="3" t="s">
        <v>308</v>
      </c>
      <c r="B111" s="1">
        <v>1053.4100000000001</v>
      </c>
      <c r="C111" s="1">
        <v>1053.4100000000001</v>
      </c>
    </row>
    <row r="112" spans="1:3" x14ac:dyDescent="0.2">
      <c r="A112" s="3" t="s">
        <v>224</v>
      </c>
      <c r="B112" s="1">
        <v>1187.01</v>
      </c>
      <c r="C112" s="1">
        <v>1183.9000000000001</v>
      </c>
    </row>
    <row r="113" spans="1:3" x14ac:dyDescent="0.2">
      <c r="A113" s="3" t="s">
        <v>65</v>
      </c>
      <c r="B113" s="1">
        <v>1530.3</v>
      </c>
      <c r="C113" s="1">
        <v>1526.02</v>
      </c>
    </row>
    <row r="114" spans="1:3" x14ac:dyDescent="0.2">
      <c r="A114" s="3" t="s">
        <v>234</v>
      </c>
      <c r="B114" s="1">
        <v>1169.96</v>
      </c>
      <c r="C114" s="1">
        <v>1169.96</v>
      </c>
    </row>
    <row r="115" spans="1:3" x14ac:dyDescent="0.2">
      <c r="A115" s="3" t="s">
        <v>211</v>
      </c>
      <c r="B115" s="1">
        <v>1202.26</v>
      </c>
      <c r="C115" s="1">
        <v>1202.26</v>
      </c>
    </row>
    <row r="116" spans="1:3" x14ac:dyDescent="0.2">
      <c r="A116" s="3" t="s">
        <v>236</v>
      </c>
      <c r="B116" s="1">
        <v>1166.6300000000001</v>
      </c>
      <c r="C116" s="1">
        <v>1166.28</v>
      </c>
    </row>
    <row r="117" spans="1:3" x14ac:dyDescent="0.2">
      <c r="A117" s="3" t="s">
        <v>177</v>
      </c>
      <c r="B117" s="1">
        <v>1289.99</v>
      </c>
      <c r="C117" s="1">
        <v>1279.74</v>
      </c>
    </row>
    <row r="118" spans="1:3" x14ac:dyDescent="0.2">
      <c r="A118" s="3" t="s">
        <v>57</v>
      </c>
      <c r="B118" s="1">
        <v>1559.54</v>
      </c>
      <c r="C118" s="1">
        <v>1554.69</v>
      </c>
    </row>
    <row r="119" spans="1:3" x14ac:dyDescent="0.2">
      <c r="A119" s="3" t="s">
        <v>137</v>
      </c>
      <c r="B119" s="1">
        <v>1378.86</v>
      </c>
      <c r="C119" s="1">
        <v>1382.06</v>
      </c>
    </row>
    <row r="120" spans="1:3" x14ac:dyDescent="0.2">
      <c r="A120" s="3" t="s">
        <v>19</v>
      </c>
      <c r="B120" s="1">
        <v>1726.14</v>
      </c>
      <c r="C120" s="1">
        <v>1713.86</v>
      </c>
    </row>
    <row r="121" spans="1:3" x14ac:dyDescent="0.2">
      <c r="A121" s="3" t="s">
        <v>161</v>
      </c>
      <c r="B121" s="1">
        <v>1316.55</v>
      </c>
      <c r="C121" s="1">
        <v>1316.35</v>
      </c>
    </row>
    <row r="122" spans="1:3" x14ac:dyDescent="0.2">
      <c r="A122" s="3" t="s">
        <v>145</v>
      </c>
      <c r="B122" s="1">
        <v>1343.01</v>
      </c>
      <c r="C122" s="1">
        <v>1338.91</v>
      </c>
    </row>
    <row r="123" spans="1:3" x14ac:dyDescent="0.2">
      <c r="A123" s="3" t="s">
        <v>48</v>
      </c>
      <c r="B123" s="1">
        <v>1564.61</v>
      </c>
      <c r="C123" s="1">
        <v>1558.64</v>
      </c>
    </row>
    <row r="124" spans="1:3" x14ac:dyDescent="0.2">
      <c r="A124" s="3" t="s">
        <v>314</v>
      </c>
      <c r="B124" s="1">
        <v>1033.9000000000001</v>
      </c>
      <c r="C124" s="1">
        <v>1019.19</v>
      </c>
    </row>
    <row r="125" spans="1:3" x14ac:dyDescent="0.2">
      <c r="A125" s="3" t="s">
        <v>222</v>
      </c>
      <c r="B125" s="1">
        <v>1192.0899999999999</v>
      </c>
      <c r="C125" s="1">
        <v>1198.6500000000001</v>
      </c>
    </row>
    <row r="126" spans="1:3" x14ac:dyDescent="0.2">
      <c r="A126" s="3" t="s">
        <v>133</v>
      </c>
      <c r="B126" s="1">
        <v>1384.41</v>
      </c>
      <c r="C126" s="1">
        <v>1379.61</v>
      </c>
    </row>
    <row r="127" spans="1:3" x14ac:dyDescent="0.2">
      <c r="A127" s="3" t="s">
        <v>81</v>
      </c>
      <c r="B127" s="1">
        <v>1492.2</v>
      </c>
      <c r="C127" s="1">
        <v>1486.76</v>
      </c>
    </row>
    <row r="128" spans="1:3" x14ac:dyDescent="0.2">
      <c r="A128" s="3" t="s">
        <v>300</v>
      </c>
      <c r="B128" s="1">
        <v>1062.3900000000001</v>
      </c>
      <c r="C128" s="1">
        <v>1058.3699999999999</v>
      </c>
    </row>
    <row r="129" spans="1:3" x14ac:dyDescent="0.2">
      <c r="A129" s="3" t="s">
        <v>169</v>
      </c>
      <c r="B129" s="1">
        <v>1301.98</v>
      </c>
      <c r="C129" s="1">
        <v>1299.69</v>
      </c>
    </row>
    <row r="130" spans="1:3" x14ac:dyDescent="0.2">
      <c r="A130" s="3" t="s">
        <v>183</v>
      </c>
      <c r="B130" s="1">
        <v>1269.07</v>
      </c>
      <c r="C130" s="1">
        <v>1269.07</v>
      </c>
    </row>
    <row r="131" spans="1:3" x14ac:dyDescent="0.2">
      <c r="A131" s="3" t="s">
        <v>352</v>
      </c>
      <c r="B131" s="1">
        <v>968.74</v>
      </c>
      <c r="C131" s="1">
        <v>968.74</v>
      </c>
    </row>
    <row r="132" spans="1:3" x14ac:dyDescent="0.2">
      <c r="A132" s="3" t="s">
        <v>242</v>
      </c>
      <c r="B132" s="1">
        <v>1160.71</v>
      </c>
      <c r="C132" s="1">
        <v>1165.53</v>
      </c>
    </row>
    <row r="133" spans="1:3" x14ac:dyDescent="0.2">
      <c r="A133" s="3" t="s">
        <v>175</v>
      </c>
      <c r="B133" s="1">
        <v>1290.47</v>
      </c>
      <c r="C133" s="1">
        <v>1294.8900000000001</v>
      </c>
    </row>
    <row r="134" spans="1:3" x14ac:dyDescent="0.2">
      <c r="A134" s="3" t="s">
        <v>246</v>
      </c>
      <c r="B134" s="1">
        <v>1156.7</v>
      </c>
      <c r="C134" s="1">
        <v>1161.96</v>
      </c>
    </row>
    <row r="135" spans="1:3" x14ac:dyDescent="0.2">
      <c r="A135" s="3" t="s">
        <v>420</v>
      </c>
      <c r="B135" s="1">
        <v>838.33</v>
      </c>
      <c r="C135" s="1">
        <v>838.33</v>
      </c>
    </row>
    <row r="136" spans="1:3" x14ac:dyDescent="0.2">
      <c r="A136" s="3" t="s">
        <v>356</v>
      </c>
      <c r="B136" s="1">
        <v>963.72</v>
      </c>
      <c r="C136" s="1">
        <v>969</v>
      </c>
    </row>
    <row r="137" spans="1:3" x14ac:dyDescent="0.2">
      <c r="A137" s="3" t="s">
        <v>113</v>
      </c>
      <c r="B137" s="1">
        <v>1437.6</v>
      </c>
      <c r="C137" s="1">
        <v>1441.45</v>
      </c>
    </row>
    <row r="138" spans="1:3" x14ac:dyDescent="0.2">
      <c r="A138" s="3" t="s">
        <v>418</v>
      </c>
      <c r="B138" s="1">
        <v>852.16</v>
      </c>
      <c r="C138" s="1">
        <v>856.55</v>
      </c>
    </row>
    <row r="139" spans="1:3" x14ac:dyDescent="0.2">
      <c r="A139" s="3" t="s">
        <v>131</v>
      </c>
      <c r="B139" s="1">
        <v>1393</v>
      </c>
      <c r="C139" s="1">
        <v>1393.47</v>
      </c>
    </row>
    <row r="140" spans="1:3" x14ac:dyDescent="0.2">
      <c r="A140" s="3" t="s">
        <v>29</v>
      </c>
      <c r="B140" s="1">
        <v>1650.21</v>
      </c>
      <c r="C140" s="1">
        <v>1658.96</v>
      </c>
    </row>
    <row r="141" spans="1:3" x14ac:dyDescent="0.2">
      <c r="A141" s="3" t="s">
        <v>165</v>
      </c>
      <c r="B141" s="1">
        <v>1307.3399999999999</v>
      </c>
      <c r="C141" s="1">
        <v>1296.46</v>
      </c>
    </row>
    <row r="142" spans="1:3" x14ac:dyDescent="0.2">
      <c r="A142" s="3" t="s">
        <v>171</v>
      </c>
      <c r="B142" s="1">
        <v>1301.8399999999999</v>
      </c>
      <c r="C142" s="1">
        <v>1301.8399999999999</v>
      </c>
    </row>
    <row r="143" spans="1:3" x14ac:dyDescent="0.2">
      <c r="A143" s="3" t="s">
        <v>15</v>
      </c>
      <c r="B143" s="1">
        <v>1759.78</v>
      </c>
      <c r="C143" s="1">
        <v>1764.85</v>
      </c>
    </row>
    <row r="144" spans="1:3" x14ac:dyDescent="0.2">
      <c r="A144" s="3" t="s">
        <v>121</v>
      </c>
      <c r="B144" s="1">
        <v>1405.6</v>
      </c>
      <c r="C144" s="1">
        <v>1398.41</v>
      </c>
    </row>
    <row r="145" spans="1:3" x14ac:dyDescent="0.2">
      <c r="A145" s="3" t="s">
        <v>336</v>
      </c>
      <c r="B145" s="1">
        <v>989.43</v>
      </c>
      <c r="C145" s="1">
        <v>993.37</v>
      </c>
    </row>
    <row r="146" spans="1:3" x14ac:dyDescent="0.2">
      <c r="A146" s="3" t="s">
        <v>254</v>
      </c>
      <c r="B146" s="1">
        <v>1147.17</v>
      </c>
      <c r="C146" s="1">
        <v>1136.29</v>
      </c>
    </row>
    <row r="147" spans="1:3" x14ac:dyDescent="0.2">
      <c r="A147" s="3" t="s">
        <v>286</v>
      </c>
      <c r="B147" s="1">
        <v>1091.19</v>
      </c>
      <c r="C147" s="1">
        <v>1088.27</v>
      </c>
    </row>
    <row r="148" spans="1:3" x14ac:dyDescent="0.2">
      <c r="A148" s="3" t="s">
        <v>296</v>
      </c>
      <c r="B148" s="1">
        <v>1070.8900000000001</v>
      </c>
      <c r="C148" s="1">
        <v>1070.8900000000001</v>
      </c>
    </row>
    <row r="149" spans="1:3" x14ac:dyDescent="0.2">
      <c r="A149" s="3" t="s">
        <v>228</v>
      </c>
      <c r="B149" s="1">
        <v>1184.6400000000001</v>
      </c>
      <c r="C149" s="1">
        <v>1177.4000000000001</v>
      </c>
    </row>
    <row r="150" spans="1:3" x14ac:dyDescent="0.2">
      <c r="A150" s="3" t="s">
        <v>410</v>
      </c>
      <c r="B150" s="1">
        <v>855.56</v>
      </c>
      <c r="C150" s="1">
        <v>855.56</v>
      </c>
    </row>
    <row r="151" spans="1:3" x14ac:dyDescent="0.2">
      <c r="A151" s="3" t="s">
        <v>205</v>
      </c>
      <c r="B151" s="1">
        <v>1215.6600000000001</v>
      </c>
      <c r="C151" s="1">
        <v>1215.33</v>
      </c>
    </row>
    <row r="152" spans="1:3" x14ac:dyDescent="0.2">
      <c r="A152" s="3" t="s">
        <v>17</v>
      </c>
      <c r="B152" s="1">
        <v>1728.47</v>
      </c>
      <c r="C152" s="1">
        <v>1737.46</v>
      </c>
    </row>
    <row r="153" spans="1:3" x14ac:dyDescent="0.2">
      <c r="A153" s="3" t="s">
        <v>157</v>
      </c>
      <c r="B153" s="1">
        <v>1330.51</v>
      </c>
      <c r="C153" s="1">
        <v>1333.48</v>
      </c>
    </row>
    <row r="154" spans="1:3" x14ac:dyDescent="0.2">
      <c r="A154" s="3" t="s">
        <v>87</v>
      </c>
      <c r="B154" s="1">
        <v>1486.44</v>
      </c>
      <c r="C154" s="1">
        <v>1482.63</v>
      </c>
    </row>
    <row r="155" spans="1:3" x14ac:dyDescent="0.2">
      <c r="A155" s="3" t="s">
        <v>97</v>
      </c>
      <c r="B155" s="1">
        <v>1464.39</v>
      </c>
      <c r="C155" s="1">
        <v>1463.74</v>
      </c>
    </row>
    <row r="156" spans="1:3" x14ac:dyDescent="0.2">
      <c r="A156" s="3" t="s">
        <v>316</v>
      </c>
      <c r="B156" s="1">
        <v>1031.8599999999999</v>
      </c>
      <c r="C156" s="1">
        <v>1031.8599999999999</v>
      </c>
    </row>
    <row r="157" spans="1:3" x14ac:dyDescent="0.2">
      <c r="A157" s="3" t="s">
        <v>378</v>
      </c>
      <c r="B157" s="1">
        <v>911.51</v>
      </c>
      <c r="C157" s="1">
        <v>911.51</v>
      </c>
    </row>
    <row r="158" spans="1:3" x14ac:dyDescent="0.2">
      <c r="A158" s="3" t="s">
        <v>396</v>
      </c>
      <c r="B158" s="1">
        <v>875.05</v>
      </c>
      <c r="C158" s="1">
        <v>877.84</v>
      </c>
    </row>
    <row r="159" spans="1:3" x14ac:dyDescent="0.2">
      <c r="A159" s="3" t="s">
        <v>27</v>
      </c>
      <c r="B159" s="1">
        <v>1666.57</v>
      </c>
      <c r="C159" s="1">
        <v>1665.47</v>
      </c>
    </row>
    <row r="160" spans="1:3" x14ac:dyDescent="0.2">
      <c r="A160" s="3" t="s">
        <v>79</v>
      </c>
      <c r="B160" s="1">
        <v>1492.21</v>
      </c>
      <c r="C160" s="1">
        <v>1502.9</v>
      </c>
    </row>
    <row r="161" spans="1:3" x14ac:dyDescent="0.2">
      <c r="A161" s="3" t="s">
        <v>230</v>
      </c>
      <c r="B161" s="1">
        <v>1183.82</v>
      </c>
      <c r="C161" s="1">
        <v>1180.52</v>
      </c>
    </row>
    <row r="162" spans="1:3" x14ac:dyDescent="0.2">
      <c r="A162" s="3" t="s">
        <v>181</v>
      </c>
      <c r="B162" s="1">
        <v>1278.6400000000001</v>
      </c>
      <c r="C162" s="1">
        <v>1293.3499999999999</v>
      </c>
    </row>
    <row r="163" spans="1:3" x14ac:dyDescent="0.2">
      <c r="A163" s="3" t="s">
        <v>344</v>
      </c>
      <c r="B163" s="1">
        <v>978.65</v>
      </c>
      <c r="C163" s="1">
        <v>978.65</v>
      </c>
    </row>
    <row r="164" spans="1:3" x14ac:dyDescent="0.2">
      <c r="A164" s="3" t="s">
        <v>31</v>
      </c>
      <c r="B164" s="1">
        <v>1645.64</v>
      </c>
      <c r="C164" s="1">
        <v>1632.15</v>
      </c>
    </row>
    <row r="165" spans="1:3" x14ac:dyDescent="0.2">
      <c r="A165" s="3" t="s">
        <v>105</v>
      </c>
      <c r="B165" s="1">
        <v>1443.06</v>
      </c>
      <c r="C165" s="1">
        <v>1435.91</v>
      </c>
    </row>
    <row r="166" spans="1:3" x14ac:dyDescent="0.2">
      <c r="A166" s="3" t="s">
        <v>71</v>
      </c>
      <c r="B166" s="1">
        <v>1503.59</v>
      </c>
      <c r="C166" s="1">
        <v>1500.06</v>
      </c>
    </row>
    <row r="167" spans="1:3" x14ac:dyDescent="0.2">
      <c r="A167" s="3" t="s">
        <v>388</v>
      </c>
      <c r="B167" s="1">
        <v>899.33</v>
      </c>
      <c r="C167" s="1">
        <v>899.33</v>
      </c>
    </row>
    <row r="168" spans="1:3" x14ac:dyDescent="0.2">
      <c r="A168" s="3" t="s">
        <v>155</v>
      </c>
      <c r="B168" s="1">
        <v>1333.92</v>
      </c>
      <c r="C168" s="1">
        <v>1332.84</v>
      </c>
    </row>
    <row r="169" spans="1:3" x14ac:dyDescent="0.2">
      <c r="A169" s="3" t="s">
        <v>209</v>
      </c>
      <c r="B169" s="1">
        <v>1208.79</v>
      </c>
      <c r="C169" s="1">
        <v>1215.0899999999999</v>
      </c>
    </row>
    <row r="170" spans="1:3" x14ac:dyDescent="0.2">
      <c r="A170" s="3" t="s">
        <v>268</v>
      </c>
      <c r="B170" s="1">
        <v>1123.18</v>
      </c>
      <c r="C170" s="1">
        <v>1127.44</v>
      </c>
    </row>
    <row r="171" spans="1:3" x14ac:dyDescent="0.2">
      <c r="A171" s="3" t="s">
        <v>41</v>
      </c>
      <c r="B171" s="1">
        <v>1611.04</v>
      </c>
      <c r="C171" s="1">
        <v>1604.07</v>
      </c>
    </row>
    <row r="172" spans="1:3" x14ac:dyDescent="0.2">
      <c r="A172" s="3" t="s">
        <v>324</v>
      </c>
      <c r="B172" s="1">
        <v>1017.78</v>
      </c>
      <c r="C172" s="1">
        <v>1017.78</v>
      </c>
    </row>
    <row r="173" spans="1:3" x14ac:dyDescent="0.2">
      <c r="A173" s="3" t="s">
        <v>167</v>
      </c>
      <c r="B173" s="1">
        <v>1305.06</v>
      </c>
      <c r="C173" s="1">
        <v>1305.06</v>
      </c>
    </row>
    <row r="174" spans="1:3" x14ac:dyDescent="0.2">
      <c r="A174" s="3" t="s">
        <v>67</v>
      </c>
      <c r="B174" s="1">
        <v>1509.61</v>
      </c>
      <c r="C174" s="1">
        <v>1514.86</v>
      </c>
    </row>
    <row r="175" spans="1:3" x14ac:dyDescent="0.2">
      <c r="A175" s="3" t="s">
        <v>372</v>
      </c>
      <c r="B175" s="1">
        <v>930.22</v>
      </c>
      <c r="C175" s="1">
        <v>931.98</v>
      </c>
    </row>
    <row r="176" spans="1:3" x14ac:dyDescent="0.2">
      <c r="A176" s="3" t="s">
        <v>274</v>
      </c>
      <c r="B176" s="1">
        <v>1116.97</v>
      </c>
      <c r="C176" s="1">
        <v>1116.06</v>
      </c>
    </row>
    <row r="177" spans="1:3" x14ac:dyDescent="0.2">
      <c r="A177" s="3" t="s">
        <v>400</v>
      </c>
      <c r="B177" s="1">
        <v>865.72</v>
      </c>
      <c r="C177" s="1">
        <v>865.72</v>
      </c>
    </row>
    <row r="178" spans="1:3" x14ac:dyDescent="0.2">
      <c r="A178" s="3" t="s">
        <v>91</v>
      </c>
      <c r="B178" s="1">
        <v>1475</v>
      </c>
      <c r="C178" s="1">
        <v>1473.82</v>
      </c>
    </row>
    <row r="179" spans="1:3" x14ac:dyDescent="0.2">
      <c r="A179" s="3" t="s">
        <v>95</v>
      </c>
      <c r="B179" s="1">
        <v>1471.44</v>
      </c>
      <c r="C179" s="1">
        <v>1484.95</v>
      </c>
    </row>
    <row r="180" spans="1:3" x14ac:dyDescent="0.2">
      <c r="A180" s="3" t="s">
        <v>364</v>
      </c>
      <c r="B180" s="1">
        <v>948.62</v>
      </c>
      <c r="C180" s="1">
        <v>954.3</v>
      </c>
    </row>
    <row r="181" spans="1:3" x14ac:dyDescent="0.2">
      <c r="A181" s="3" t="s">
        <v>151</v>
      </c>
      <c r="B181" s="1">
        <v>1336.05</v>
      </c>
      <c r="C181" s="1">
        <v>1331.46</v>
      </c>
    </row>
    <row r="182" spans="1:3" x14ac:dyDescent="0.2">
      <c r="A182" s="3" t="s">
        <v>292</v>
      </c>
      <c r="B182" s="1">
        <v>1076.26</v>
      </c>
      <c r="C182" s="1">
        <v>1076.26</v>
      </c>
    </row>
    <row r="183" spans="1:3" x14ac:dyDescent="0.2">
      <c r="A183" s="3" t="s">
        <v>117</v>
      </c>
      <c r="B183" s="1">
        <v>1432.25</v>
      </c>
      <c r="C183" s="1">
        <v>1425.64</v>
      </c>
    </row>
    <row r="184" spans="1:3" x14ac:dyDescent="0.2">
      <c r="A184" s="3" t="s">
        <v>153</v>
      </c>
      <c r="B184" s="1">
        <v>1335.36</v>
      </c>
      <c r="C184" s="1">
        <v>1325.16</v>
      </c>
    </row>
    <row r="185" spans="1:3" x14ac:dyDescent="0.2">
      <c r="A185" s="3" t="s">
        <v>390</v>
      </c>
      <c r="B185" s="1">
        <v>898.41</v>
      </c>
      <c r="C185" s="1">
        <v>897.1</v>
      </c>
    </row>
    <row r="186" spans="1:3" x14ac:dyDescent="0.2">
      <c r="A186" s="3" t="s">
        <v>428</v>
      </c>
      <c r="B186" s="1">
        <v>809.32</v>
      </c>
      <c r="C186" s="1">
        <v>809.32</v>
      </c>
    </row>
    <row r="187" spans="1:3" x14ac:dyDescent="0.2">
      <c r="A187" s="3" t="s">
        <v>7</v>
      </c>
      <c r="B187" s="1">
        <v>1841.3</v>
      </c>
      <c r="C187" s="1">
        <v>1837.56</v>
      </c>
    </row>
    <row r="188" spans="1:3" x14ac:dyDescent="0.2">
      <c r="A188" s="3" t="s">
        <v>306</v>
      </c>
      <c r="B188" s="1">
        <v>1056.46</v>
      </c>
      <c r="C188" s="1">
        <v>1060.17</v>
      </c>
    </row>
    <row r="189" spans="1:3" x14ac:dyDescent="0.2">
      <c r="A189" s="3" t="s">
        <v>125</v>
      </c>
      <c r="B189" s="1">
        <v>1403.51</v>
      </c>
      <c r="C189" s="1">
        <v>1403.98</v>
      </c>
    </row>
    <row r="190" spans="1:3" x14ac:dyDescent="0.2">
      <c r="A190" s="3" t="s">
        <v>173</v>
      </c>
      <c r="B190" s="1">
        <v>1296.28</v>
      </c>
      <c r="C190" s="1">
        <v>1298.81</v>
      </c>
    </row>
    <row r="191" spans="1:3" x14ac:dyDescent="0.2">
      <c r="A191" s="3" t="s">
        <v>380</v>
      </c>
      <c r="B191" s="1">
        <v>910.96</v>
      </c>
      <c r="C191" s="1">
        <v>910.96</v>
      </c>
    </row>
    <row r="192" spans="1:3" x14ac:dyDescent="0.2">
      <c r="A192" s="3" t="s">
        <v>348</v>
      </c>
      <c r="B192" s="1">
        <v>977.47</v>
      </c>
      <c r="C192" s="1">
        <v>977.47</v>
      </c>
    </row>
    <row r="193" spans="1:3" x14ac:dyDescent="0.2">
      <c r="A193" s="3" t="s">
        <v>191</v>
      </c>
      <c r="B193" s="1">
        <v>1247.47</v>
      </c>
      <c r="C193" s="1">
        <v>1258.71</v>
      </c>
    </row>
    <row r="194" spans="1:3" x14ac:dyDescent="0.2">
      <c r="A194" s="3" t="s">
        <v>362</v>
      </c>
      <c r="B194" s="1">
        <v>950.88</v>
      </c>
      <c r="C194" s="1">
        <v>950.88</v>
      </c>
    </row>
    <row r="195" spans="1:3" x14ac:dyDescent="0.2">
      <c r="A195" s="3" t="s">
        <v>10</v>
      </c>
      <c r="B195" s="1">
        <v>1816.71</v>
      </c>
      <c r="C195" s="1">
        <v>1821.92</v>
      </c>
    </row>
    <row r="196" spans="1:3" x14ac:dyDescent="0.2">
      <c r="A196" s="3" t="s">
        <v>203</v>
      </c>
      <c r="B196" s="1">
        <v>1221.06</v>
      </c>
      <c r="C196" s="1">
        <v>1226.55</v>
      </c>
    </row>
    <row r="197" spans="1:3" x14ac:dyDescent="0.2">
      <c r="A197" s="3" t="s">
        <v>342</v>
      </c>
      <c r="B197" s="1">
        <v>982.27</v>
      </c>
      <c r="C197" s="1">
        <v>982.27</v>
      </c>
    </row>
    <row r="198" spans="1:3" x14ac:dyDescent="0.2">
      <c r="A198" s="3" t="s">
        <v>394</v>
      </c>
      <c r="B198" s="1">
        <v>884.45</v>
      </c>
      <c r="C198" s="1">
        <v>883.18</v>
      </c>
    </row>
    <row r="199" spans="1:3" x14ac:dyDescent="0.2">
      <c r="A199" s="3" t="s">
        <v>179</v>
      </c>
      <c r="B199" s="1">
        <v>1280.6400000000001</v>
      </c>
      <c r="C199" s="1">
        <v>1289.25</v>
      </c>
    </row>
    <row r="200" spans="1:3" x14ac:dyDescent="0.2">
      <c r="A200" s="3" t="s">
        <v>414</v>
      </c>
      <c r="B200" s="1">
        <v>854.8</v>
      </c>
      <c r="C200" s="1">
        <v>854.8</v>
      </c>
    </row>
    <row r="201" spans="1:3" x14ac:dyDescent="0.2">
      <c r="A201" s="3" t="s">
        <v>256</v>
      </c>
      <c r="B201" s="1">
        <v>1146.72</v>
      </c>
      <c r="C201" s="1">
        <v>1127.17</v>
      </c>
    </row>
    <row r="202" spans="1:3" x14ac:dyDescent="0.2">
      <c r="A202" s="3" t="s">
        <v>77</v>
      </c>
      <c r="B202" s="1">
        <v>1492.95</v>
      </c>
      <c r="C202" s="1">
        <v>1502.47</v>
      </c>
    </row>
    <row r="203" spans="1:3" x14ac:dyDescent="0.2">
      <c r="A203" s="3" t="s">
        <v>85</v>
      </c>
      <c r="B203" s="1">
        <v>1488.72</v>
      </c>
      <c r="C203" s="1">
        <v>1483.73</v>
      </c>
    </row>
    <row r="204" spans="1:3" x14ac:dyDescent="0.2">
      <c r="A204" s="3" t="s">
        <v>412</v>
      </c>
      <c r="B204" s="1">
        <v>855.37</v>
      </c>
      <c r="C204" s="1">
        <v>855.37</v>
      </c>
    </row>
    <row r="205" spans="1:3" x14ac:dyDescent="0.2">
      <c r="A205" s="3" t="s">
        <v>195</v>
      </c>
      <c r="B205" s="1">
        <v>1233.93</v>
      </c>
      <c r="C205" s="1">
        <v>1242.42</v>
      </c>
    </row>
    <row r="206" spans="1:3" x14ac:dyDescent="0.2">
      <c r="A206" s="3" t="s">
        <v>13</v>
      </c>
      <c r="B206" s="1">
        <v>1773.88</v>
      </c>
      <c r="C206" s="1">
        <v>1770.65</v>
      </c>
    </row>
    <row r="207" spans="1:3" x14ac:dyDescent="0.2">
      <c r="A207" s="3" t="s">
        <v>272</v>
      </c>
      <c r="B207" s="1">
        <v>1117.01</v>
      </c>
      <c r="C207" s="1">
        <v>1117.01</v>
      </c>
    </row>
    <row r="208" spans="1:3" x14ac:dyDescent="0.2">
      <c r="A208" s="3" t="s">
        <v>430</v>
      </c>
      <c r="B208" s="1">
        <v>790.74</v>
      </c>
      <c r="C208" s="1">
        <v>790.74</v>
      </c>
    </row>
    <row r="209" spans="1:3" x14ac:dyDescent="0.2">
      <c r="A209" s="3" t="s">
        <v>248</v>
      </c>
      <c r="B209" s="1">
        <v>1155.9000000000001</v>
      </c>
      <c r="C209" s="1">
        <v>1149.08</v>
      </c>
    </row>
    <row r="210" spans="1:3" x14ac:dyDescent="0.2">
      <c r="A210" s="3" t="s">
        <v>312</v>
      </c>
      <c r="B210" s="1">
        <v>1035.2</v>
      </c>
      <c r="C210" s="1">
        <v>1028.7</v>
      </c>
    </row>
    <row r="211" spans="1:3" x14ac:dyDescent="0.2">
      <c r="A211" s="3" t="s">
        <v>386</v>
      </c>
      <c r="B211" s="1">
        <v>900.27</v>
      </c>
      <c r="C211" s="1">
        <v>900.27</v>
      </c>
    </row>
    <row r="212" spans="1:3" x14ac:dyDescent="0.2">
      <c r="A212" s="3" t="s">
        <v>83</v>
      </c>
      <c r="B212" s="1">
        <v>1489.1</v>
      </c>
      <c r="C212" s="1">
        <v>1480.59</v>
      </c>
    </row>
    <row r="213" spans="1:3" x14ac:dyDescent="0.2">
      <c r="A213" s="3" t="s">
        <v>141</v>
      </c>
      <c r="B213" s="1">
        <v>1354.11</v>
      </c>
      <c r="C213" s="1">
        <v>1361.81</v>
      </c>
    </row>
    <row r="214" spans="1:3" x14ac:dyDescent="0.2">
      <c r="A214" s="3" t="s">
        <v>322</v>
      </c>
      <c r="B214" s="1">
        <v>1023.04</v>
      </c>
      <c r="C214" s="1">
        <v>1023.04</v>
      </c>
    </row>
    <row r="215" spans="1:3" x14ac:dyDescent="0.2">
      <c r="A215" s="3" t="s">
        <v>441</v>
      </c>
      <c r="B215" s="1">
        <v>257565.03000000006</v>
      </c>
      <c r="C215" s="1">
        <v>257556.22000000003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E8B6-B187-3547-B8B8-D4DA958F6C40}">
  <dimension ref="A1:B215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2.33203125" bestFit="1" customWidth="1"/>
  </cols>
  <sheetData>
    <row r="1" spans="1:2" x14ac:dyDescent="0.2">
      <c r="A1" s="2" t="s">
        <v>0</v>
      </c>
      <c r="B1" t="s">
        <v>445</v>
      </c>
    </row>
    <row r="3" spans="1:2" x14ac:dyDescent="0.2">
      <c r="A3" s="2" t="s">
        <v>440</v>
      </c>
      <c r="B3" t="s">
        <v>443</v>
      </c>
    </row>
    <row r="4" spans="1:2" x14ac:dyDescent="0.2">
      <c r="A4" s="3" t="s">
        <v>54</v>
      </c>
      <c r="B4" s="1">
        <v>1563.5</v>
      </c>
    </row>
    <row r="5" spans="1:2" x14ac:dyDescent="0.2">
      <c r="A5" s="3" t="s">
        <v>323</v>
      </c>
      <c r="B5" s="1">
        <v>1023.04</v>
      </c>
    </row>
    <row r="6" spans="1:2" x14ac:dyDescent="0.2">
      <c r="A6" s="3" t="s">
        <v>431</v>
      </c>
      <c r="B6" s="1">
        <v>790.74</v>
      </c>
    </row>
    <row r="7" spans="1:2" x14ac:dyDescent="0.2">
      <c r="A7" s="3" t="s">
        <v>142</v>
      </c>
      <c r="B7" s="1">
        <v>1354.11</v>
      </c>
    </row>
    <row r="8" spans="1:2" x14ac:dyDescent="0.2">
      <c r="A8" s="3" t="s">
        <v>84</v>
      </c>
      <c r="B8" s="1">
        <v>1489.1</v>
      </c>
    </row>
    <row r="9" spans="1:2" x14ac:dyDescent="0.2">
      <c r="A9" s="3" t="s">
        <v>313</v>
      </c>
      <c r="B9" s="1">
        <v>1035.2</v>
      </c>
    </row>
    <row r="10" spans="1:2" x14ac:dyDescent="0.2">
      <c r="A10" s="3" t="s">
        <v>249</v>
      </c>
      <c r="B10" s="1">
        <v>1155.9000000000001</v>
      </c>
    </row>
    <row r="11" spans="1:2" x14ac:dyDescent="0.2">
      <c r="A11" s="3" t="s">
        <v>14</v>
      </c>
      <c r="B11" s="1">
        <v>1773.88</v>
      </c>
    </row>
    <row r="12" spans="1:2" x14ac:dyDescent="0.2">
      <c r="A12" s="3" t="s">
        <v>196</v>
      </c>
      <c r="B12" s="1">
        <v>1233.93</v>
      </c>
    </row>
    <row r="13" spans="1:2" x14ac:dyDescent="0.2">
      <c r="A13" s="3" t="s">
        <v>413</v>
      </c>
      <c r="B13" s="1">
        <v>855.37</v>
      </c>
    </row>
    <row r="14" spans="1:2" x14ac:dyDescent="0.2">
      <c r="A14" s="3" t="s">
        <v>387</v>
      </c>
      <c r="B14" s="1">
        <v>900.27</v>
      </c>
    </row>
    <row r="15" spans="1:2" x14ac:dyDescent="0.2">
      <c r="A15" s="3" t="s">
        <v>273</v>
      </c>
      <c r="B15" s="1">
        <v>1117.01</v>
      </c>
    </row>
    <row r="16" spans="1:2" x14ac:dyDescent="0.2">
      <c r="A16" s="3" t="s">
        <v>86</v>
      </c>
      <c r="B16" s="1">
        <v>1488.72</v>
      </c>
    </row>
    <row r="17" spans="1:2" x14ac:dyDescent="0.2">
      <c r="A17" s="3" t="s">
        <v>78</v>
      </c>
      <c r="B17" s="1">
        <v>1492.95</v>
      </c>
    </row>
    <row r="18" spans="1:2" x14ac:dyDescent="0.2">
      <c r="A18" s="3" t="s">
        <v>257</v>
      </c>
      <c r="B18" s="1">
        <v>1146.72</v>
      </c>
    </row>
    <row r="19" spans="1:2" x14ac:dyDescent="0.2">
      <c r="A19" s="3" t="s">
        <v>415</v>
      </c>
      <c r="B19" s="1">
        <v>854.8</v>
      </c>
    </row>
    <row r="20" spans="1:2" x14ac:dyDescent="0.2">
      <c r="A20" s="3" t="s">
        <v>395</v>
      </c>
      <c r="B20" s="1">
        <v>884.45</v>
      </c>
    </row>
    <row r="21" spans="1:2" x14ac:dyDescent="0.2">
      <c r="A21" s="3" t="s">
        <v>293</v>
      </c>
      <c r="B21" s="1">
        <v>1076.26</v>
      </c>
    </row>
    <row r="22" spans="1:2" x14ac:dyDescent="0.2">
      <c r="A22" s="3" t="s">
        <v>11</v>
      </c>
      <c r="B22" s="1">
        <v>1816.71</v>
      </c>
    </row>
    <row r="23" spans="1:2" x14ac:dyDescent="0.2">
      <c r="A23" s="3" t="s">
        <v>192</v>
      </c>
      <c r="B23" s="1">
        <v>1247.47</v>
      </c>
    </row>
    <row r="24" spans="1:2" x14ac:dyDescent="0.2">
      <c r="A24" s="3" t="s">
        <v>349</v>
      </c>
      <c r="B24" s="1">
        <v>977.47</v>
      </c>
    </row>
    <row r="25" spans="1:2" x14ac:dyDescent="0.2">
      <c r="A25" s="3" t="s">
        <v>118</v>
      </c>
      <c r="B25" s="1">
        <v>1432.25</v>
      </c>
    </row>
    <row r="26" spans="1:2" x14ac:dyDescent="0.2">
      <c r="A26" s="3" t="s">
        <v>180</v>
      </c>
      <c r="B26" s="1">
        <v>1280.6400000000001</v>
      </c>
    </row>
    <row r="27" spans="1:2" x14ac:dyDescent="0.2">
      <c r="A27" s="3" t="s">
        <v>381</v>
      </c>
      <c r="B27" s="1">
        <v>910.96</v>
      </c>
    </row>
    <row r="28" spans="1:2" x14ac:dyDescent="0.2">
      <c r="A28" s="3" t="s">
        <v>126</v>
      </c>
      <c r="B28" s="1">
        <v>1403.51</v>
      </c>
    </row>
    <row r="29" spans="1:2" x14ac:dyDescent="0.2">
      <c r="A29" s="3" t="s">
        <v>204</v>
      </c>
      <c r="B29" s="1">
        <v>1221.06</v>
      </c>
    </row>
    <row r="30" spans="1:2" x14ac:dyDescent="0.2">
      <c r="A30" s="3" t="s">
        <v>363</v>
      </c>
      <c r="B30" s="1">
        <v>950.88</v>
      </c>
    </row>
    <row r="31" spans="1:2" x14ac:dyDescent="0.2">
      <c r="A31" s="3" t="s">
        <v>174</v>
      </c>
      <c r="B31" s="1">
        <v>1296.28</v>
      </c>
    </row>
    <row r="32" spans="1:2" x14ac:dyDescent="0.2">
      <c r="A32" s="3" t="s">
        <v>307</v>
      </c>
      <c r="B32" s="1">
        <v>1056.46</v>
      </c>
    </row>
    <row r="33" spans="1:2" x14ac:dyDescent="0.2">
      <c r="A33" s="3" t="s">
        <v>8</v>
      </c>
      <c r="B33" s="1">
        <v>1841.3</v>
      </c>
    </row>
    <row r="34" spans="1:2" x14ac:dyDescent="0.2">
      <c r="A34" s="3" t="s">
        <v>343</v>
      </c>
      <c r="B34" s="1">
        <v>982.27</v>
      </c>
    </row>
    <row r="35" spans="1:2" x14ac:dyDescent="0.2">
      <c r="A35" s="3" t="s">
        <v>391</v>
      </c>
      <c r="B35" s="1">
        <v>898.41</v>
      </c>
    </row>
    <row r="36" spans="1:2" x14ac:dyDescent="0.2">
      <c r="A36" s="3" t="s">
        <v>154</v>
      </c>
      <c r="B36" s="1">
        <v>1335.36</v>
      </c>
    </row>
    <row r="37" spans="1:2" x14ac:dyDescent="0.2">
      <c r="A37" s="3" t="s">
        <v>365</v>
      </c>
      <c r="B37" s="1">
        <v>948.62</v>
      </c>
    </row>
    <row r="38" spans="1:2" x14ac:dyDescent="0.2">
      <c r="A38" s="3" t="s">
        <v>92</v>
      </c>
      <c r="B38" s="1">
        <v>1475</v>
      </c>
    </row>
    <row r="39" spans="1:2" x14ac:dyDescent="0.2">
      <c r="A39" s="3" t="s">
        <v>401</v>
      </c>
      <c r="B39" s="1">
        <v>865.72</v>
      </c>
    </row>
    <row r="40" spans="1:2" x14ac:dyDescent="0.2">
      <c r="A40" s="3" t="s">
        <v>210</v>
      </c>
      <c r="B40" s="1">
        <v>1208.79</v>
      </c>
    </row>
    <row r="41" spans="1:2" x14ac:dyDescent="0.2">
      <c r="A41" s="3" t="s">
        <v>373</v>
      </c>
      <c r="B41" s="1">
        <v>930.22</v>
      </c>
    </row>
    <row r="42" spans="1:2" x14ac:dyDescent="0.2">
      <c r="A42" s="3" t="s">
        <v>68</v>
      </c>
      <c r="B42" s="1">
        <v>1509.61</v>
      </c>
    </row>
    <row r="43" spans="1:2" x14ac:dyDescent="0.2">
      <c r="A43" s="3" t="s">
        <v>168</v>
      </c>
      <c r="B43" s="1">
        <v>1305.06</v>
      </c>
    </row>
    <row r="44" spans="1:2" x14ac:dyDescent="0.2">
      <c r="A44" s="3" t="s">
        <v>106</v>
      </c>
      <c r="B44" s="1">
        <v>1443.06</v>
      </c>
    </row>
    <row r="45" spans="1:2" x14ac:dyDescent="0.2">
      <c r="A45" s="3" t="s">
        <v>96</v>
      </c>
      <c r="B45" s="1">
        <v>1471.44</v>
      </c>
    </row>
    <row r="46" spans="1:2" x14ac:dyDescent="0.2">
      <c r="A46" s="3" t="s">
        <v>156</v>
      </c>
      <c r="B46" s="1">
        <v>1333.92</v>
      </c>
    </row>
    <row r="47" spans="1:2" x14ac:dyDescent="0.2">
      <c r="A47" s="3" t="s">
        <v>389</v>
      </c>
      <c r="B47" s="1">
        <v>899.33</v>
      </c>
    </row>
    <row r="48" spans="1:2" x14ac:dyDescent="0.2">
      <c r="A48" s="3" t="s">
        <v>42</v>
      </c>
      <c r="B48" s="1">
        <v>1611.04</v>
      </c>
    </row>
    <row r="49" spans="1:2" x14ac:dyDescent="0.2">
      <c r="A49" s="3" t="s">
        <v>269</v>
      </c>
      <c r="B49" s="1">
        <v>1123.18</v>
      </c>
    </row>
    <row r="50" spans="1:2" x14ac:dyDescent="0.2">
      <c r="A50" s="3" t="s">
        <v>152</v>
      </c>
      <c r="B50" s="1">
        <v>1336.05</v>
      </c>
    </row>
    <row r="51" spans="1:2" x14ac:dyDescent="0.2">
      <c r="A51" s="3" t="s">
        <v>72</v>
      </c>
      <c r="B51" s="1">
        <v>1503.59</v>
      </c>
    </row>
    <row r="52" spans="1:2" x14ac:dyDescent="0.2">
      <c r="A52" s="3" t="s">
        <v>32</v>
      </c>
      <c r="B52" s="1">
        <v>1645.64</v>
      </c>
    </row>
    <row r="53" spans="1:2" x14ac:dyDescent="0.2">
      <c r="A53" s="3" t="s">
        <v>275</v>
      </c>
      <c r="B53" s="1">
        <v>1116.97</v>
      </c>
    </row>
    <row r="54" spans="1:2" x14ac:dyDescent="0.2">
      <c r="A54" s="3" t="s">
        <v>345</v>
      </c>
      <c r="B54" s="1">
        <v>978.65</v>
      </c>
    </row>
    <row r="55" spans="1:2" x14ac:dyDescent="0.2">
      <c r="A55" s="3" t="s">
        <v>182</v>
      </c>
      <c r="B55" s="1">
        <v>1278.6400000000001</v>
      </c>
    </row>
    <row r="56" spans="1:2" x14ac:dyDescent="0.2">
      <c r="A56" s="3" t="s">
        <v>231</v>
      </c>
      <c r="B56" s="1">
        <v>1183.82</v>
      </c>
    </row>
    <row r="57" spans="1:2" x14ac:dyDescent="0.2">
      <c r="A57" s="3" t="s">
        <v>80</v>
      </c>
      <c r="B57" s="1">
        <v>1492.21</v>
      </c>
    </row>
    <row r="58" spans="1:2" x14ac:dyDescent="0.2">
      <c r="A58" s="3" t="s">
        <v>28</v>
      </c>
      <c r="B58" s="1">
        <v>1666.57</v>
      </c>
    </row>
    <row r="59" spans="1:2" x14ac:dyDescent="0.2">
      <c r="A59" s="3" t="s">
        <v>397</v>
      </c>
      <c r="B59" s="1">
        <v>875.05</v>
      </c>
    </row>
    <row r="60" spans="1:2" x14ac:dyDescent="0.2">
      <c r="A60" s="3" t="s">
        <v>379</v>
      </c>
      <c r="B60" s="1">
        <v>911.51</v>
      </c>
    </row>
    <row r="61" spans="1:2" x14ac:dyDescent="0.2">
      <c r="A61" s="3" t="s">
        <v>317</v>
      </c>
      <c r="B61" s="1">
        <v>1031.8599999999999</v>
      </c>
    </row>
    <row r="62" spans="1:2" x14ac:dyDescent="0.2">
      <c r="A62" s="3" t="s">
        <v>98</v>
      </c>
      <c r="B62" s="1">
        <v>1464.39</v>
      </c>
    </row>
    <row r="63" spans="1:2" x14ac:dyDescent="0.2">
      <c r="A63" s="3" t="s">
        <v>88</v>
      </c>
      <c r="B63" s="1">
        <v>1486.44</v>
      </c>
    </row>
    <row r="64" spans="1:2" x14ac:dyDescent="0.2">
      <c r="A64" s="3" t="s">
        <v>18</v>
      </c>
      <c r="B64" s="1">
        <v>1728.47</v>
      </c>
    </row>
    <row r="65" spans="1:2" x14ac:dyDescent="0.2">
      <c r="A65" s="3" t="s">
        <v>206</v>
      </c>
      <c r="B65" s="1">
        <v>1215.6600000000001</v>
      </c>
    </row>
    <row r="66" spans="1:2" x14ac:dyDescent="0.2">
      <c r="A66" s="3" t="s">
        <v>411</v>
      </c>
      <c r="B66" s="1">
        <v>855.56</v>
      </c>
    </row>
    <row r="67" spans="1:2" x14ac:dyDescent="0.2">
      <c r="A67" s="3" t="s">
        <v>22</v>
      </c>
      <c r="B67" s="1">
        <v>1715.22</v>
      </c>
    </row>
    <row r="68" spans="1:2" x14ac:dyDescent="0.2">
      <c r="A68" s="3" t="s">
        <v>229</v>
      </c>
      <c r="B68" s="1">
        <v>1184.6400000000001</v>
      </c>
    </row>
    <row r="69" spans="1:2" x14ac:dyDescent="0.2">
      <c r="A69" s="3" t="s">
        <v>287</v>
      </c>
      <c r="B69" s="1">
        <v>1091.19</v>
      </c>
    </row>
    <row r="70" spans="1:2" x14ac:dyDescent="0.2">
      <c r="A70" s="3" t="s">
        <v>337</v>
      </c>
      <c r="B70" s="1">
        <v>989.43</v>
      </c>
    </row>
    <row r="71" spans="1:2" x14ac:dyDescent="0.2">
      <c r="A71" s="3" t="s">
        <v>122</v>
      </c>
      <c r="B71" s="1">
        <v>1405.6</v>
      </c>
    </row>
    <row r="72" spans="1:2" x14ac:dyDescent="0.2">
      <c r="A72" s="3" t="s">
        <v>16</v>
      </c>
      <c r="B72" s="1">
        <v>1759.78</v>
      </c>
    </row>
    <row r="73" spans="1:2" x14ac:dyDescent="0.2">
      <c r="A73" s="3" t="s">
        <v>255</v>
      </c>
      <c r="B73" s="1">
        <v>1147.17</v>
      </c>
    </row>
    <row r="74" spans="1:2" x14ac:dyDescent="0.2">
      <c r="A74" s="3" t="s">
        <v>172</v>
      </c>
      <c r="B74" s="1">
        <v>1301.8399999999999</v>
      </c>
    </row>
    <row r="75" spans="1:2" x14ac:dyDescent="0.2">
      <c r="A75" s="3" t="s">
        <v>263</v>
      </c>
      <c r="B75" s="1">
        <v>1137.47</v>
      </c>
    </row>
    <row r="76" spans="1:2" x14ac:dyDescent="0.2">
      <c r="A76" s="3" t="s">
        <v>166</v>
      </c>
      <c r="B76" s="1">
        <v>1307.3399999999999</v>
      </c>
    </row>
    <row r="77" spans="1:2" x14ac:dyDescent="0.2">
      <c r="A77" s="3" t="s">
        <v>30</v>
      </c>
      <c r="B77" s="1">
        <v>1650.21</v>
      </c>
    </row>
    <row r="78" spans="1:2" x14ac:dyDescent="0.2">
      <c r="A78" s="3" t="s">
        <v>132</v>
      </c>
      <c r="B78" s="1">
        <v>1393</v>
      </c>
    </row>
    <row r="79" spans="1:2" x14ac:dyDescent="0.2">
      <c r="A79" s="3" t="s">
        <v>419</v>
      </c>
      <c r="B79" s="1">
        <v>852.16</v>
      </c>
    </row>
    <row r="80" spans="1:2" x14ac:dyDescent="0.2">
      <c r="A80" s="3" t="s">
        <v>243</v>
      </c>
      <c r="B80" s="1">
        <v>1160.71</v>
      </c>
    </row>
    <row r="81" spans="1:2" x14ac:dyDescent="0.2">
      <c r="A81" s="3" t="s">
        <v>114</v>
      </c>
      <c r="B81" s="1">
        <v>1437.6</v>
      </c>
    </row>
    <row r="82" spans="1:2" x14ac:dyDescent="0.2">
      <c r="A82" s="3" t="s">
        <v>357</v>
      </c>
      <c r="B82" s="1">
        <v>963.72</v>
      </c>
    </row>
    <row r="83" spans="1:2" x14ac:dyDescent="0.2">
      <c r="A83" s="3" t="s">
        <v>247</v>
      </c>
      <c r="B83" s="1">
        <v>1156.7</v>
      </c>
    </row>
    <row r="84" spans="1:2" x14ac:dyDescent="0.2">
      <c r="A84" s="3" t="s">
        <v>176</v>
      </c>
      <c r="B84" s="1">
        <v>1290.47</v>
      </c>
    </row>
    <row r="85" spans="1:2" x14ac:dyDescent="0.2">
      <c r="A85" s="3" t="s">
        <v>421</v>
      </c>
      <c r="B85" s="1">
        <v>838.33</v>
      </c>
    </row>
    <row r="86" spans="1:2" x14ac:dyDescent="0.2">
      <c r="A86" s="3" t="s">
        <v>353</v>
      </c>
      <c r="B86" s="1">
        <v>968.74</v>
      </c>
    </row>
    <row r="87" spans="1:2" x14ac:dyDescent="0.2">
      <c r="A87" s="3" t="s">
        <v>184</v>
      </c>
      <c r="B87" s="1">
        <v>1269.07</v>
      </c>
    </row>
    <row r="88" spans="1:2" x14ac:dyDescent="0.2">
      <c r="A88" s="3" t="s">
        <v>301</v>
      </c>
      <c r="B88" s="1">
        <v>1062.3900000000001</v>
      </c>
    </row>
    <row r="89" spans="1:2" x14ac:dyDescent="0.2">
      <c r="A89" s="3" t="s">
        <v>170</v>
      </c>
      <c r="B89" s="1">
        <v>1301.98</v>
      </c>
    </row>
    <row r="90" spans="1:2" x14ac:dyDescent="0.2">
      <c r="A90" s="3" t="s">
        <v>82</v>
      </c>
      <c r="B90" s="1">
        <v>1492.2</v>
      </c>
    </row>
    <row r="91" spans="1:2" x14ac:dyDescent="0.2">
      <c r="A91" s="3" t="s">
        <v>315</v>
      </c>
      <c r="B91" s="1">
        <v>1033.9000000000001</v>
      </c>
    </row>
    <row r="92" spans="1:2" x14ac:dyDescent="0.2">
      <c r="A92" s="3" t="s">
        <v>223</v>
      </c>
      <c r="B92" s="1">
        <v>1192.0899999999999</v>
      </c>
    </row>
    <row r="93" spans="1:2" x14ac:dyDescent="0.2">
      <c r="A93" s="3" t="s">
        <v>108</v>
      </c>
      <c r="B93" s="1">
        <v>1440.19</v>
      </c>
    </row>
    <row r="94" spans="1:2" x14ac:dyDescent="0.2">
      <c r="A94" s="3" t="s">
        <v>49</v>
      </c>
      <c r="B94" s="1">
        <v>1564.61</v>
      </c>
    </row>
    <row r="95" spans="1:2" x14ac:dyDescent="0.2">
      <c r="A95" s="3" t="s">
        <v>146</v>
      </c>
      <c r="B95" s="1">
        <v>1343.01</v>
      </c>
    </row>
    <row r="96" spans="1:2" x14ac:dyDescent="0.2">
      <c r="A96" s="3" t="s">
        <v>134</v>
      </c>
      <c r="B96" s="1">
        <v>1384.41</v>
      </c>
    </row>
    <row r="97" spans="1:2" x14ac:dyDescent="0.2">
      <c r="A97" s="3" t="s">
        <v>162</v>
      </c>
      <c r="B97" s="1">
        <v>1316.55</v>
      </c>
    </row>
    <row r="98" spans="1:2" x14ac:dyDescent="0.2">
      <c r="A98" s="3" t="s">
        <v>20</v>
      </c>
      <c r="B98" s="1">
        <v>1726.14</v>
      </c>
    </row>
    <row r="99" spans="1:2" x14ac:dyDescent="0.2">
      <c r="A99" s="3" t="s">
        <v>138</v>
      </c>
      <c r="B99" s="1">
        <v>1378.86</v>
      </c>
    </row>
    <row r="100" spans="1:2" x14ac:dyDescent="0.2">
      <c r="A100" s="3" t="s">
        <v>178</v>
      </c>
      <c r="B100" s="1">
        <v>1289.99</v>
      </c>
    </row>
    <row r="101" spans="1:2" x14ac:dyDescent="0.2">
      <c r="A101" s="3" t="s">
        <v>58</v>
      </c>
      <c r="B101" s="1">
        <v>1559.54</v>
      </c>
    </row>
    <row r="102" spans="1:2" x14ac:dyDescent="0.2">
      <c r="A102" s="3" t="s">
        <v>237</v>
      </c>
      <c r="B102" s="1">
        <v>1166.6300000000001</v>
      </c>
    </row>
    <row r="103" spans="1:2" x14ac:dyDescent="0.2">
      <c r="A103" s="3" t="s">
        <v>212</v>
      </c>
      <c r="B103" s="1">
        <v>1202.26</v>
      </c>
    </row>
    <row r="104" spans="1:2" x14ac:dyDescent="0.2">
      <c r="A104" s="3" t="s">
        <v>200</v>
      </c>
      <c r="B104" s="1">
        <v>1230.22</v>
      </c>
    </row>
    <row r="105" spans="1:2" x14ac:dyDescent="0.2">
      <c r="A105" s="3" t="s">
        <v>66</v>
      </c>
      <c r="B105" s="1">
        <v>1530.3</v>
      </c>
    </row>
    <row r="106" spans="1:2" x14ac:dyDescent="0.2">
      <c r="A106" s="3" t="s">
        <v>225</v>
      </c>
      <c r="B106" s="1">
        <v>1187.01</v>
      </c>
    </row>
    <row r="107" spans="1:2" x14ac:dyDescent="0.2">
      <c r="A107" s="3" t="s">
        <v>112</v>
      </c>
      <c r="B107" s="1">
        <v>1437.78</v>
      </c>
    </row>
    <row r="108" spans="1:2" x14ac:dyDescent="0.2">
      <c r="A108" s="3" t="s">
        <v>309</v>
      </c>
      <c r="B108" s="1">
        <v>1053.4100000000001</v>
      </c>
    </row>
    <row r="109" spans="1:2" x14ac:dyDescent="0.2">
      <c r="A109" s="3" t="s">
        <v>385</v>
      </c>
      <c r="B109" s="1">
        <v>905.51</v>
      </c>
    </row>
    <row r="110" spans="1:2" x14ac:dyDescent="0.2">
      <c r="A110" s="3" t="s">
        <v>208</v>
      </c>
      <c r="B110" s="1">
        <v>1211.71</v>
      </c>
    </row>
    <row r="111" spans="1:2" x14ac:dyDescent="0.2">
      <c r="A111" s="3" t="s">
        <v>311</v>
      </c>
      <c r="B111" s="1">
        <v>1049.6600000000001</v>
      </c>
    </row>
    <row r="112" spans="1:2" x14ac:dyDescent="0.2">
      <c r="A112" s="3" t="s">
        <v>251</v>
      </c>
      <c r="B112" s="1">
        <v>1154.25</v>
      </c>
    </row>
    <row r="113" spans="1:2" x14ac:dyDescent="0.2">
      <c r="A113" s="3" t="s">
        <v>355</v>
      </c>
      <c r="B113" s="1">
        <v>965.66</v>
      </c>
    </row>
    <row r="114" spans="1:2" x14ac:dyDescent="0.2">
      <c r="A114" s="3" t="s">
        <v>305</v>
      </c>
      <c r="B114" s="1">
        <v>1061.4000000000001</v>
      </c>
    </row>
    <row r="115" spans="1:2" x14ac:dyDescent="0.2">
      <c r="A115" s="3" t="s">
        <v>403</v>
      </c>
      <c r="B115" s="1">
        <v>862.39</v>
      </c>
    </row>
    <row r="116" spans="1:2" x14ac:dyDescent="0.2">
      <c r="A116" s="3" t="s">
        <v>299</v>
      </c>
      <c r="B116" s="1">
        <v>1069.75</v>
      </c>
    </row>
    <row r="117" spans="1:2" x14ac:dyDescent="0.2">
      <c r="A117" s="3" t="s">
        <v>194</v>
      </c>
      <c r="B117" s="1">
        <v>1243.8</v>
      </c>
    </row>
    <row r="118" spans="1:2" x14ac:dyDescent="0.2">
      <c r="A118" s="3" t="s">
        <v>279</v>
      </c>
      <c r="B118" s="1">
        <v>1114.21</v>
      </c>
    </row>
    <row r="119" spans="1:2" x14ac:dyDescent="0.2">
      <c r="A119" s="3" t="s">
        <v>375</v>
      </c>
      <c r="B119" s="1">
        <v>922.1</v>
      </c>
    </row>
    <row r="120" spans="1:2" x14ac:dyDescent="0.2">
      <c r="A120" s="3" t="s">
        <v>214</v>
      </c>
      <c r="B120" s="1">
        <v>1200.74</v>
      </c>
    </row>
    <row r="121" spans="1:2" x14ac:dyDescent="0.2">
      <c r="A121" s="3" t="s">
        <v>303</v>
      </c>
      <c r="B121" s="1">
        <v>1062.32</v>
      </c>
    </row>
    <row r="122" spans="1:2" x14ac:dyDescent="0.2">
      <c r="A122" s="3" t="s">
        <v>359</v>
      </c>
      <c r="B122" s="1">
        <v>961.23</v>
      </c>
    </row>
    <row r="123" spans="1:2" x14ac:dyDescent="0.2">
      <c r="A123" s="3" t="s">
        <v>319</v>
      </c>
      <c r="B123" s="1">
        <v>1026.0899999999999</v>
      </c>
    </row>
    <row r="124" spans="1:2" x14ac:dyDescent="0.2">
      <c r="A124" s="3" t="s">
        <v>34</v>
      </c>
      <c r="B124" s="1">
        <v>1644.89</v>
      </c>
    </row>
    <row r="125" spans="1:2" x14ac:dyDescent="0.2">
      <c r="A125" s="3" t="s">
        <v>140</v>
      </c>
      <c r="B125" s="1">
        <v>1358.51</v>
      </c>
    </row>
    <row r="126" spans="1:2" x14ac:dyDescent="0.2">
      <c r="A126" s="3" t="s">
        <v>102</v>
      </c>
      <c r="B126" s="1">
        <v>1448.85</v>
      </c>
    </row>
    <row r="127" spans="1:2" x14ac:dyDescent="0.2">
      <c r="A127" s="3" t="s">
        <v>347</v>
      </c>
      <c r="B127" s="1">
        <v>977.92</v>
      </c>
    </row>
    <row r="128" spans="1:2" x14ac:dyDescent="0.2">
      <c r="A128" s="3" t="s">
        <v>148</v>
      </c>
      <c r="B128" s="1">
        <v>1341.03</v>
      </c>
    </row>
    <row r="129" spans="1:2" x14ac:dyDescent="0.2">
      <c r="A129" s="3" t="s">
        <v>377</v>
      </c>
      <c r="B129" s="1">
        <v>913.55</v>
      </c>
    </row>
    <row r="130" spans="1:2" x14ac:dyDescent="0.2">
      <c r="A130" s="3" t="s">
        <v>239</v>
      </c>
      <c r="B130" s="1">
        <v>1165.22</v>
      </c>
    </row>
    <row r="131" spans="1:2" x14ac:dyDescent="0.2">
      <c r="A131" s="3" t="s">
        <v>371</v>
      </c>
      <c r="B131" s="1">
        <v>932.02</v>
      </c>
    </row>
    <row r="132" spans="1:2" x14ac:dyDescent="0.2">
      <c r="A132" s="3" t="s">
        <v>369</v>
      </c>
      <c r="B132" s="1">
        <v>940.78</v>
      </c>
    </row>
    <row r="133" spans="1:2" x14ac:dyDescent="0.2">
      <c r="A133" s="3" t="s">
        <v>216</v>
      </c>
      <c r="B133" s="1">
        <v>1197.58</v>
      </c>
    </row>
    <row r="134" spans="1:2" x14ac:dyDescent="0.2">
      <c r="A134" s="3" t="s">
        <v>259</v>
      </c>
      <c r="B134" s="1">
        <v>1144.97</v>
      </c>
    </row>
    <row r="135" spans="1:2" x14ac:dyDescent="0.2">
      <c r="A135" s="3" t="s">
        <v>327</v>
      </c>
      <c r="B135" s="1">
        <v>1007.89</v>
      </c>
    </row>
    <row r="136" spans="1:2" x14ac:dyDescent="0.2">
      <c r="A136" s="3" t="s">
        <v>241</v>
      </c>
      <c r="B136" s="1">
        <v>1164.1300000000001</v>
      </c>
    </row>
    <row r="137" spans="1:2" x14ac:dyDescent="0.2">
      <c r="A137" s="3" t="s">
        <v>295</v>
      </c>
      <c r="B137" s="1">
        <v>1071.83</v>
      </c>
    </row>
    <row r="138" spans="1:2" x14ac:dyDescent="0.2">
      <c r="A138" s="3" t="s">
        <v>333</v>
      </c>
      <c r="B138" s="1">
        <v>995.58</v>
      </c>
    </row>
    <row r="139" spans="1:2" x14ac:dyDescent="0.2">
      <c r="A139" s="3" t="s">
        <v>24</v>
      </c>
      <c r="B139" s="1">
        <v>1694.51</v>
      </c>
    </row>
    <row r="140" spans="1:2" x14ac:dyDescent="0.2">
      <c r="A140" s="3" t="s">
        <v>361</v>
      </c>
      <c r="B140" s="1">
        <v>954.86</v>
      </c>
    </row>
    <row r="141" spans="1:2" x14ac:dyDescent="0.2">
      <c r="A141" s="3" t="s">
        <v>74</v>
      </c>
      <c r="B141" s="1">
        <v>1498.47</v>
      </c>
    </row>
    <row r="142" spans="1:2" x14ac:dyDescent="0.2">
      <c r="A142" s="3" t="s">
        <v>253</v>
      </c>
      <c r="B142" s="1">
        <v>1152.8</v>
      </c>
    </row>
    <row r="143" spans="1:2" x14ac:dyDescent="0.2">
      <c r="A143" s="3" t="s">
        <v>128</v>
      </c>
      <c r="B143" s="1">
        <v>1396.55</v>
      </c>
    </row>
    <row r="144" spans="1:2" x14ac:dyDescent="0.2">
      <c r="A144" s="3" t="s">
        <v>94</v>
      </c>
      <c r="B144" s="1">
        <v>1473.04</v>
      </c>
    </row>
    <row r="145" spans="1:2" x14ac:dyDescent="0.2">
      <c r="A145" s="3" t="s">
        <v>220</v>
      </c>
      <c r="B145" s="1">
        <v>1193.98</v>
      </c>
    </row>
    <row r="146" spans="1:2" x14ac:dyDescent="0.2">
      <c r="A146" s="3" t="s">
        <v>160</v>
      </c>
      <c r="B146" s="1">
        <v>1320.29</v>
      </c>
    </row>
    <row r="147" spans="1:2" x14ac:dyDescent="0.2">
      <c r="A147" s="3" t="s">
        <v>399</v>
      </c>
      <c r="B147" s="1">
        <v>866.81</v>
      </c>
    </row>
    <row r="148" spans="1:2" x14ac:dyDescent="0.2">
      <c r="A148" s="3" t="s">
        <v>130</v>
      </c>
      <c r="B148" s="1">
        <v>1393.28</v>
      </c>
    </row>
    <row r="149" spans="1:2" x14ac:dyDescent="0.2">
      <c r="A149" s="3" t="s">
        <v>104</v>
      </c>
      <c r="B149" s="1">
        <v>1448.77</v>
      </c>
    </row>
    <row r="150" spans="1:2" x14ac:dyDescent="0.2">
      <c r="A150" s="3" t="s">
        <v>56</v>
      </c>
      <c r="B150" s="1">
        <v>1561.01</v>
      </c>
    </row>
    <row r="151" spans="1:2" x14ac:dyDescent="0.2">
      <c r="A151" s="3" t="s">
        <v>277</v>
      </c>
      <c r="B151" s="1">
        <v>1115.1300000000001</v>
      </c>
    </row>
    <row r="152" spans="1:2" x14ac:dyDescent="0.2">
      <c r="A152" s="3" t="s">
        <v>198</v>
      </c>
      <c r="B152" s="1">
        <v>1233.72</v>
      </c>
    </row>
    <row r="153" spans="1:2" x14ac:dyDescent="0.2">
      <c r="A153" s="3" t="s">
        <v>329</v>
      </c>
      <c r="B153" s="1">
        <v>1007.46</v>
      </c>
    </row>
    <row r="154" spans="1:2" x14ac:dyDescent="0.2">
      <c r="A154" s="3" t="s">
        <v>62</v>
      </c>
      <c r="B154" s="1">
        <v>1548.59</v>
      </c>
    </row>
    <row r="155" spans="1:2" x14ac:dyDescent="0.2">
      <c r="A155" s="3" t="s">
        <v>26</v>
      </c>
      <c r="B155" s="1">
        <v>1676.56</v>
      </c>
    </row>
    <row r="156" spans="1:2" x14ac:dyDescent="0.2">
      <c r="A156" s="3" t="s">
        <v>235</v>
      </c>
      <c r="B156" s="1">
        <v>1169.96</v>
      </c>
    </row>
    <row r="157" spans="1:2" x14ac:dyDescent="0.2">
      <c r="A157" s="3" t="s">
        <v>351</v>
      </c>
      <c r="B157" s="1">
        <v>974.32</v>
      </c>
    </row>
    <row r="158" spans="1:2" x14ac:dyDescent="0.2">
      <c r="A158" s="3" t="s">
        <v>110</v>
      </c>
      <c r="B158" s="1">
        <v>1439.89</v>
      </c>
    </row>
    <row r="159" spans="1:2" x14ac:dyDescent="0.2">
      <c r="A159" s="3" t="s">
        <v>116</v>
      </c>
      <c r="B159" s="1">
        <v>1434.68</v>
      </c>
    </row>
    <row r="160" spans="1:2" x14ac:dyDescent="0.2">
      <c r="A160" s="3" t="s">
        <v>144</v>
      </c>
      <c r="B160" s="1">
        <v>1349.59</v>
      </c>
    </row>
    <row r="161" spans="1:2" x14ac:dyDescent="0.2">
      <c r="A161" s="3" t="s">
        <v>76</v>
      </c>
      <c r="B161" s="1">
        <v>1496.11</v>
      </c>
    </row>
    <row r="162" spans="1:2" x14ac:dyDescent="0.2">
      <c r="A162" s="3" t="s">
        <v>285</v>
      </c>
      <c r="B162" s="1">
        <v>1093.6600000000001</v>
      </c>
    </row>
    <row r="163" spans="1:2" x14ac:dyDescent="0.2">
      <c r="A163" s="3" t="s">
        <v>393</v>
      </c>
      <c r="B163" s="1">
        <v>894.26</v>
      </c>
    </row>
    <row r="164" spans="1:2" x14ac:dyDescent="0.2">
      <c r="A164" s="3" t="s">
        <v>90</v>
      </c>
      <c r="B164" s="1">
        <v>1479.53</v>
      </c>
    </row>
    <row r="165" spans="1:2" x14ac:dyDescent="0.2">
      <c r="A165" s="3" t="s">
        <v>267</v>
      </c>
      <c r="B165" s="1">
        <v>1127.3399999999999</v>
      </c>
    </row>
    <row r="166" spans="1:2" x14ac:dyDescent="0.2">
      <c r="A166" s="3" t="s">
        <v>44</v>
      </c>
      <c r="B166" s="1">
        <v>1584.38</v>
      </c>
    </row>
    <row r="167" spans="1:2" x14ac:dyDescent="0.2">
      <c r="A167" s="3" t="s">
        <v>409</v>
      </c>
      <c r="B167" s="1">
        <v>859.56</v>
      </c>
    </row>
    <row r="168" spans="1:2" x14ac:dyDescent="0.2">
      <c r="A168" s="3" t="s">
        <v>331</v>
      </c>
      <c r="B168" s="1">
        <v>1003.5</v>
      </c>
    </row>
    <row r="169" spans="1:2" x14ac:dyDescent="0.2">
      <c r="A169" s="3" t="s">
        <v>291</v>
      </c>
      <c r="B169" s="1">
        <v>1076.9100000000001</v>
      </c>
    </row>
    <row r="170" spans="1:2" x14ac:dyDescent="0.2">
      <c r="A170" s="3" t="s">
        <v>245</v>
      </c>
      <c r="B170" s="1">
        <v>1160.31</v>
      </c>
    </row>
    <row r="171" spans="1:2" x14ac:dyDescent="0.2">
      <c r="A171" s="3" t="s">
        <v>158</v>
      </c>
      <c r="B171" s="1">
        <v>1330.51</v>
      </c>
    </row>
    <row r="172" spans="1:2" x14ac:dyDescent="0.2">
      <c r="A172" s="3" t="s">
        <v>433</v>
      </c>
      <c r="B172" s="1">
        <v>762.22</v>
      </c>
    </row>
    <row r="173" spans="1:2" x14ac:dyDescent="0.2">
      <c r="A173" s="3" t="s">
        <v>283</v>
      </c>
      <c r="B173" s="1">
        <v>1095.7</v>
      </c>
    </row>
    <row r="174" spans="1:2" x14ac:dyDescent="0.2">
      <c r="A174" s="3" t="s">
        <v>417</v>
      </c>
      <c r="B174" s="1">
        <v>854.72</v>
      </c>
    </row>
    <row r="175" spans="1:2" x14ac:dyDescent="0.2">
      <c r="A175" s="3" t="s">
        <v>52</v>
      </c>
      <c r="B175" s="1">
        <v>1563.62</v>
      </c>
    </row>
    <row r="176" spans="1:2" x14ac:dyDescent="0.2">
      <c r="A176" s="3" t="s">
        <v>425</v>
      </c>
      <c r="B176" s="1">
        <v>825.25</v>
      </c>
    </row>
    <row r="177" spans="1:2" x14ac:dyDescent="0.2">
      <c r="A177" s="3" t="s">
        <v>341</v>
      </c>
      <c r="B177" s="1">
        <v>983.99</v>
      </c>
    </row>
    <row r="178" spans="1:2" x14ac:dyDescent="0.2">
      <c r="A178" s="3" t="s">
        <v>383</v>
      </c>
      <c r="B178" s="1">
        <v>908.18</v>
      </c>
    </row>
    <row r="179" spans="1:2" x14ac:dyDescent="0.2">
      <c r="A179" s="3" t="s">
        <v>39</v>
      </c>
      <c r="B179" s="1">
        <v>1635.92</v>
      </c>
    </row>
    <row r="180" spans="1:2" x14ac:dyDescent="0.2">
      <c r="A180" s="3" t="s">
        <v>289</v>
      </c>
      <c r="B180" s="1">
        <v>1077.3</v>
      </c>
    </row>
    <row r="181" spans="1:2" x14ac:dyDescent="0.2">
      <c r="A181" s="3" t="s">
        <v>120</v>
      </c>
      <c r="B181" s="1">
        <v>1425.59</v>
      </c>
    </row>
    <row r="182" spans="1:2" x14ac:dyDescent="0.2">
      <c r="A182" s="3" t="s">
        <v>136</v>
      </c>
      <c r="B182" s="1">
        <v>1384.04</v>
      </c>
    </row>
    <row r="183" spans="1:2" x14ac:dyDescent="0.2">
      <c r="A183" s="3" t="s">
        <v>60</v>
      </c>
      <c r="B183" s="1">
        <v>1553.33</v>
      </c>
    </row>
    <row r="184" spans="1:2" x14ac:dyDescent="0.2">
      <c r="A184" s="3" t="s">
        <v>297</v>
      </c>
      <c r="B184" s="1">
        <v>1070.8900000000001</v>
      </c>
    </row>
    <row r="185" spans="1:2" x14ac:dyDescent="0.2">
      <c r="A185" s="3" t="s">
        <v>190</v>
      </c>
      <c r="B185" s="1">
        <v>1255.92</v>
      </c>
    </row>
    <row r="186" spans="1:2" x14ac:dyDescent="0.2">
      <c r="A186" s="3" t="s">
        <v>335</v>
      </c>
      <c r="B186" s="1">
        <v>995.11</v>
      </c>
    </row>
    <row r="187" spans="1:2" x14ac:dyDescent="0.2">
      <c r="A187" s="3" t="s">
        <v>271</v>
      </c>
      <c r="B187" s="1">
        <v>1119.8900000000001</v>
      </c>
    </row>
    <row r="188" spans="1:2" x14ac:dyDescent="0.2">
      <c r="A188" s="3" t="s">
        <v>423</v>
      </c>
      <c r="B188" s="1">
        <v>832</v>
      </c>
    </row>
    <row r="189" spans="1:2" x14ac:dyDescent="0.2">
      <c r="A189" s="3" t="s">
        <v>405</v>
      </c>
      <c r="B189" s="1">
        <v>861.81</v>
      </c>
    </row>
    <row r="190" spans="1:2" x14ac:dyDescent="0.2">
      <c r="A190" s="3" t="s">
        <v>233</v>
      </c>
      <c r="B190" s="1">
        <v>1174.92</v>
      </c>
    </row>
    <row r="191" spans="1:2" x14ac:dyDescent="0.2">
      <c r="A191" s="3" t="s">
        <v>227</v>
      </c>
      <c r="B191" s="1">
        <v>1185.7</v>
      </c>
    </row>
    <row r="192" spans="1:2" x14ac:dyDescent="0.2">
      <c r="A192" s="3" t="s">
        <v>281</v>
      </c>
      <c r="B192" s="1">
        <v>1100.47</v>
      </c>
    </row>
    <row r="193" spans="1:2" x14ac:dyDescent="0.2">
      <c r="A193" s="3" t="s">
        <v>407</v>
      </c>
      <c r="B193" s="1">
        <v>860.06</v>
      </c>
    </row>
    <row r="194" spans="1:2" x14ac:dyDescent="0.2">
      <c r="A194" s="3" t="s">
        <v>265</v>
      </c>
      <c r="B194" s="1">
        <v>1128.92</v>
      </c>
    </row>
    <row r="195" spans="1:2" x14ac:dyDescent="0.2">
      <c r="A195" s="3" t="s">
        <v>325</v>
      </c>
      <c r="B195" s="1">
        <v>1017.78</v>
      </c>
    </row>
    <row r="196" spans="1:2" x14ac:dyDescent="0.2">
      <c r="A196" s="3" t="s">
        <v>218</v>
      </c>
      <c r="B196" s="1">
        <v>1195.29</v>
      </c>
    </row>
    <row r="197" spans="1:2" x14ac:dyDescent="0.2">
      <c r="A197" s="3" t="s">
        <v>70</v>
      </c>
      <c r="B197" s="1">
        <v>1507.54</v>
      </c>
    </row>
    <row r="198" spans="1:2" x14ac:dyDescent="0.2">
      <c r="A198" s="3" t="s">
        <v>100</v>
      </c>
      <c r="B198" s="1">
        <v>1460.14</v>
      </c>
    </row>
    <row r="199" spans="1:2" x14ac:dyDescent="0.2">
      <c r="A199" s="3" t="s">
        <v>150</v>
      </c>
      <c r="B199" s="1">
        <v>1337.57</v>
      </c>
    </row>
    <row r="200" spans="1:2" x14ac:dyDescent="0.2">
      <c r="A200" s="3" t="s">
        <v>188</v>
      </c>
      <c r="B200" s="1">
        <v>1260.69</v>
      </c>
    </row>
    <row r="201" spans="1:2" x14ac:dyDescent="0.2">
      <c r="A201" s="3" t="s">
        <v>64</v>
      </c>
      <c r="B201" s="1">
        <v>1536.99</v>
      </c>
    </row>
    <row r="202" spans="1:2" x14ac:dyDescent="0.2">
      <c r="A202" s="3" t="s">
        <v>37</v>
      </c>
      <c r="B202" s="1">
        <v>1638.71</v>
      </c>
    </row>
    <row r="203" spans="1:2" x14ac:dyDescent="0.2">
      <c r="A203" s="3" t="s">
        <v>40</v>
      </c>
      <c r="B203" s="1">
        <v>1627.48</v>
      </c>
    </row>
    <row r="204" spans="1:2" x14ac:dyDescent="0.2">
      <c r="A204" s="3" t="s">
        <v>164</v>
      </c>
      <c r="B204" s="1">
        <v>1309.98</v>
      </c>
    </row>
    <row r="205" spans="1:2" x14ac:dyDescent="0.2">
      <c r="A205" s="3" t="s">
        <v>339</v>
      </c>
      <c r="B205" s="1">
        <v>985.62</v>
      </c>
    </row>
    <row r="206" spans="1:2" x14ac:dyDescent="0.2">
      <c r="A206" s="3" t="s">
        <v>124</v>
      </c>
      <c r="B206" s="1">
        <v>1404.37</v>
      </c>
    </row>
    <row r="207" spans="1:2" x14ac:dyDescent="0.2">
      <c r="A207" s="3" t="s">
        <v>429</v>
      </c>
      <c r="B207" s="1">
        <v>809.32</v>
      </c>
    </row>
    <row r="208" spans="1:2" x14ac:dyDescent="0.2">
      <c r="A208" s="3" t="s">
        <v>202</v>
      </c>
      <c r="B208" s="1">
        <v>1226.6500000000001</v>
      </c>
    </row>
    <row r="209" spans="1:2" x14ac:dyDescent="0.2">
      <c r="A209" s="3" t="s">
        <v>367</v>
      </c>
      <c r="B209" s="1">
        <v>945.25</v>
      </c>
    </row>
    <row r="210" spans="1:2" x14ac:dyDescent="0.2">
      <c r="A210" s="3" t="s">
        <v>427</v>
      </c>
      <c r="B210" s="1">
        <v>823.97</v>
      </c>
    </row>
    <row r="211" spans="1:2" x14ac:dyDescent="0.2">
      <c r="A211" s="3" t="s">
        <v>47</v>
      </c>
      <c r="B211" s="1">
        <v>1569.82</v>
      </c>
    </row>
    <row r="212" spans="1:2" x14ac:dyDescent="0.2">
      <c r="A212" s="3" t="s">
        <v>321</v>
      </c>
      <c r="B212" s="1">
        <v>1023.52</v>
      </c>
    </row>
    <row r="213" spans="1:2" x14ac:dyDescent="0.2">
      <c r="A213" s="3" t="s">
        <v>186</v>
      </c>
      <c r="B213" s="1">
        <v>1267.4100000000001</v>
      </c>
    </row>
    <row r="214" spans="1:2" x14ac:dyDescent="0.2">
      <c r="A214" s="3" t="s">
        <v>261</v>
      </c>
      <c r="B214" s="1">
        <v>1138.56</v>
      </c>
    </row>
    <row r="215" spans="1:2" x14ac:dyDescent="0.2">
      <c r="A215" s="3" t="s">
        <v>441</v>
      </c>
      <c r="B215" s="1">
        <v>257565.03000000012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797A0-B77D-6B4D-B8C4-6EB56F37D566}">
  <dimension ref="A1:G215"/>
  <sheetViews>
    <sheetView workbookViewId="0">
      <selection activeCell="A3" sqref="A3"/>
    </sheetView>
  </sheetViews>
  <sheetFormatPr baseColWidth="10" defaultRowHeight="16" x14ac:dyDescent="0.2"/>
  <cols>
    <col min="1" max="1" width="25.6640625" bestFit="1" customWidth="1"/>
    <col min="2" max="3" width="14.6640625" bestFit="1" customWidth="1"/>
    <col min="4" max="4" width="16" bestFit="1" customWidth="1"/>
    <col min="5" max="7" width="14.6640625" bestFit="1" customWidth="1"/>
  </cols>
  <sheetData>
    <row r="1" spans="1:7" x14ac:dyDescent="0.2">
      <c r="A1" s="2" t="s">
        <v>2</v>
      </c>
      <c r="B1" t="s">
        <v>445</v>
      </c>
    </row>
    <row r="3" spans="1:7" x14ac:dyDescent="0.2">
      <c r="A3" s="2" t="s">
        <v>440</v>
      </c>
      <c r="B3" t="s">
        <v>450</v>
      </c>
      <c r="C3" t="s">
        <v>451</v>
      </c>
      <c r="D3" t="s">
        <v>452</v>
      </c>
      <c r="E3" t="s">
        <v>453</v>
      </c>
      <c r="F3" t="s">
        <v>454</v>
      </c>
      <c r="G3" t="s">
        <v>455</v>
      </c>
    </row>
    <row r="4" spans="1:7" x14ac:dyDescent="0.2">
      <c r="A4" s="3" t="s">
        <v>322</v>
      </c>
      <c r="B4" s="1">
        <v>-2</v>
      </c>
      <c r="C4" s="1">
        <v>0</v>
      </c>
      <c r="D4" s="1">
        <v>1</v>
      </c>
      <c r="E4" s="1">
        <v>75949.19</v>
      </c>
      <c r="F4" s="1">
        <v>54</v>
      </c>
      <c r="G4" s="1">
        <v>20285.549999999996</v>
      </c>
    </row>
    <row r="5" spans="1:7" x14ac:dyDescent="0.2">
      <c r="A5" s="3" t="s">
        <v>141</v>
      </c>
      <c r="B5" s="1">
        <v>0</v>
      </c>
      <c r="C5" s="1">
        <v>-7.7000000000000455</v>
      </c>
      <c r="D5" s="1">
        <v>1</v>
      </c>
      <c r="E5" s="1">
        <v>75949.19</v>
      </c>
      <c r="F5" s="1">
        <v>54</v>
      </c>
      <c r="G5" s="1">
        <v>20285.549999999996</v>
      </c>
    </row>
    <row r="6" spans="1:7" x14ac:dyDescent="0.2">
      <c r="A6" s="3" t="s">
        <v>83</v>
      </c>
      <c r="B6" s="1">
        <v>4</v>
      </c>
      <c r="C6" s="1">
        <v>8.5099999999999909</v>
      </c>
      <c r="D6" s="1">
        <v>1</v>
      </c>
      <c r="E6" s="1">
        <v>75949.19</v>
      </c>
      <c r="F6" s="1">
        <v>54</v>
      </c>
      <c r="G6" s="1">
        <v>20285.549999999996</v>
      </c>
    </row>
    <row r="7" spans="1:7" x14ac:dyDescent="0.2">
      <c r="A7" s="3" t="s">
        <v>386</v>
      </c>
      <c r="B7" s="1">
        <v>0</v>
      </c>
      <c r="C7" s="1">
        <v>0</v>
      </c>
      <c r="D7" s="1">
        <v>1</v>
      </c>
      <c r="E7" s="1">
        <v>75949.19</v>
      </c>
      <c r="F7" s="1">
        <v>54</v>
      </c>
      <c r="G7" s="1">
        <v>20285.549999999996</v>
      </c>
    </row>
    <row r="8" spans="1:7" x14ac:dyDescent="0.2">
      <c r="A8" s="3" t="s">
        <v>312</v>
      </c>
      <c r="B8" s="1">
        <v>1</v>
      </c>
      <c r="C8" s="1">
        <v>6.5</v>
      </c>
      <c r="D8" s="1">
        <v>1</v>
      </c>
      <c r="E8" s="1">
        <v>75949.19</v>
      </c>
      <c r="F8" s="1">
        <v>54</v>
      </c>
      <c r="G8" s="1">
        <v>20285.549999999996</v>
      </c>
    </row>
    <row r="9" spans="1:7" x14ac:dyDescent="0.2">
      <c r="A9" s="3" t="s">
        <v>248</v>
      </c>
      <c r="B9" s="1">
        <v>1</v>
      </c>
      <c r="C9" s="1">
        <v>6.8200000000001637</v>
      </c>
      <c r="D9" s="1">
        <v>1</v>
      </c>
      <c r="E9" s="1">
        <v>75949.19</v>
      </c>
      <c r="F9" s="1">
        <v>54</v>
      </c>
      <c r="G9" s="1">
        <v>20285.549999999996</v>
      </c>
    </row>
    <row r="10" spans="1:7" x14ac:dyDescent="0.2">
      <c r="A10" s="3" t="s">
        <v>430</v>
      </c>
      <c r="B10" s="1">
        <v>0</v>
      </c>
      <c r="C10" s="1">
        <v>0</v>
      </c>
      <c r="D10" s="1">
        <v>1</v>
      </c>
      <c r="E10" s="1">
        <v>75949.19</v>
      </c>
      <c r="F10" s="1">
        <v>54</v>
      </c>
      <c r="G10" s="1">
        <v>20285.549999999996</v>
      </c>
    </row>
    <row r="11" spans="1:7" x14ac:dyDescent="0.2">
      <c r="A11" s="3" t="s">
        <v>272</v>
      </c>
      <c r="B11" s="1">
        <v>1</v>
      </c>
      <c r="C11" s="1">
        <v>0</v>
      </c>
      <c r="D11" s="1">
        <v>1</v>
      </c>
      <c r="E11" s="1">
        <v>75949.19</v>
      </c>
      <c r="F11" s="1">
        <v>54</v>
      </c>
      <c r="G11" s="1">
        <v>20285.549999999996</v>
      </c>
    </row>
    <row r="12" spans="1:7" x14ac:dyDescent="0.2">
      <c r="A12" s="3" t="s">
        <v>13</v>
      </c>
      <c r="B12" s="1">
        <v>0</v>
      </c>
      <c r="C12" s="1">
        <v>3.2300000000000182</v>
      </c>
      <c r="D12" s="1">
        <v>1</v>
      </c>
      <c r="E12" s="1">
        <v>75949.19</v>
      </c>
      <c r="F12" s="1">
        <v>54</v>
      </c>
      <c r="G12" s="1">
        <v>20285.549999999996</v>
      </c>
    </row>
    <row r="13" spans="1:7" x14ac:dyDescent="0.2">
      <c r="A13" s="3" t="s">
        <v>195</v>
      </c>
      <c r="B13" s="1">
        <v>-1</v>
      </c>
      <c r="C13" s="1">
        <v>-8.4900000000000091</v>
      </c>
      <c r="D13" s="1">
        <v>1</v>
      </c>
      <c r="E13" s="1">
        <v>75949.19</v>
      </c>
      <c r="F13" s="1">
        <v>54</v>
      </c>
      <c r="G13" s="1">
        <v>20285.549999999996</v>
      </c>
    </row>
    <row r="14" spans="1:7" x14ac:dyDescent="0.2">
      <c r="A14" s="3" t="s">
        <v>412</v>
      </c>
      <c r="B14" s="1">
        <v>1</v>
      </c>
      <c r="C14" s="1">
        <v>0</v>
      </c>
      <c r="D14" s="1">
        <v>1</v>
      </c>
      <c r="E14" s="1">
        <v>75949.19</v>
      </c>
      <c r="F14" s="1">
        <v>54</v>
      </c>
      <c r="G14" s="1">
        <v>20285.549999999996</v>
      </c>
    </row>
    <row r="15" spans="1:7" x14ac:dyDescent="0.2">
      <c r="A15" s="3" t="s">
        <v>85</v>
      </c>
      <c r="B15" s="1">
        <v>1</v>
      </c>
      <c r="C15" s="1">
        <v>4.9900000000000091</v>
      </c>
      <c r="D15" s="1">
        <v>1</v>
      </c>
      <c r="E15" s="1">
        <v>75949.19</v>
      </c>
      <c r="F15" s="1">
        <v>54</v>
      </c>
      <c r="G15" s="1">
        <v>20285.549999999996</v>
      </c>
    </row>
    <row r="16" spans="1:7" x14ac:dyDescent="0.2">
      <c r="A16" s="3" t="s">
        <v>77</v>
      </c>
      <c r="B16" s="1">
        <v>-1</v>
      </c>
      <c r="C16" s="1">
        <v>-9.5199999999999818</v>
      </c>
      <c r="D16" s="1">
        <v>1</v>
      </c>
      <c r="E16" s="1">
        <v>75949.19</v>
      </c>
      <c r="F16" s="1">
        <v>54</v>
      </c>
      <c r="G16" s="1">
        <v>20285.549999999996</v>
      </c>
    </row>
    <row r="17" spans="1:7" x14ac:dyDescent="0.2">
      <c r="A17" s="3" t="s">
        <v>256</v>
      </c>
      <c r="B17" s="1">
        <v>5</v>
      </c>
      <c r="C17" s="1">
        <v>19.549999999999955</v>
      </c>
      <c r="D17" s="1">
        <v>1</v>
      </c>
      <c r="E17" s="1">
        <v>75949.19</v>
      </c>
      <c r="F17" s="1">
        <v>54</v>
      </c>
      <c r="G17" s="1">
        <v>20285.549999999996</v>
      </c>
    </row>
    <row r="18" spans="1:7" x14ac:dyDescent="0.2">
      <c r="A18" s="3" t="s">
        <v>414</v>
      </c>
      <c r="B18" s="1">
        <v>1</v>
      </c>
      <c r="C18" s="1">
        <v>0</v>
      </c>
      <c r="D18" s="1">
        <v>1</v>
      </c>
      <c r="E18" s="1">
        <v>75949.19</v>
      </c>
      <c r="F18" s="1">
        <v>54</v>
      </c>
      <c r="G18" s="1">
        <v>20285.549999999996</v>
      </c>
    </row>
    <row r="19" spans="1:7" x14ac:dyDescent="0.2">
      <c r="A19" s="3" t="s">
        <v>179</v>
      </c>
      <c r="B19" s="1">
        <v>0</v>
      </c>
      <c r="C19" s="1">
        <v>-8.6099999999999</v>
      </c>
      <c r="D19" s="1">
        <v>1</v>
      </c>
      <c r="E19" s="1">
        <v>75949.19</v>
      </c>
      <c r="F19" s="1">
        <v>54</v>
      </c>
      <c r="G19" s="1">
        <v>20285.549999999996</v>
      </c>
    </row>
    <row r="20" spans="1:7" x14ac:dyDescent="0.2">
      <c r="A20" s="3" t="s">
        <v>394</v>
      </c>
      <c r="B20" s="1">
        <v>0</v>
      </c>
      <c r="C20" s="1">
        <v>1.2700000000000955</v>
      </c>
      <c r="D20" s="1">
        <v>1</v>
      </c>
      <c r="E20" s="1">
        <v>75949.19</v>
      </c>
      <c r="F20" s="1">
        <v>54</v>
      </c>
      <c r="G20" s="1">
        <v>20285.549999999996</v>
      </c>
    </row>
    <row r="21" spans="1:7" x14ac:dyDescent="0.2">
      <c r="A21" s="3" t="s">
        <v>342</v>
      </c>
      <c r="B21" s="1">
        <v>0</v>
      </c>
      <c r="C21" s="1">
        <v>0</v>
      </c>
      <c r="D21" s="1">
        <v>1</v>
      </c>
      <c r="E21" s="1">
        <v>75949.19</v>
      </c>
      <c r="F21" s="1">
        <v>54</v>
      </c>
      <c r="G21" s="1">
        <v>20285.549999999996</v>
      </c>
    </row>
    <row r="22" spans="1:7" x14ac:dyDescent="0.2">
      <c r="A22" s="3" t="s">
        <v>203</v>
      </c>
      <c r="B22" s="1">
        <v>-1</v>
      </c>
      <c r="C22" s="1">
        <v>-5.4900000000000091</v>
      </c>
      <c r="D22" s="1">
        <v>1</v>
      </c>
      <c r="E22" s="1">
        <v>75949.19</v>
      </c>
      <c r="F22" s="1">
        <v>54</v>
      </c>
      <c r="G22" s="1">
        <v>20285.549999999996</v>
      </c>
    </row>
    <row r="23" spans="1:7" x14ac:dyDescent="0.2">
      <c r="A23" s="3" t="s">
        <v>10</v>
      </c>
      <c r="B23" s="1">
        <v>0</v>
      </c>
      <c r="C23" s="1">
        <v>-5.2100000000000364</v>
      </c>
      <c r="D23" s="1">
        <v>1</v>
      </c>
      <c r="E23" s="1">
        <v>75949.19</v>
      </c>
      <c r="F23" s="1">
        <v>54</v>
      </c>
      <c r="G23" s="1">
        <v>20285.549999999996</v>
      </c>
    </row>
    <row r="24" spans="1:7" x14ac:dyDescent="0.2">
      <c r="A24" s="3" t="s">
        <v>362</v>
      </c>
      <c r="B24" s="1">
        <v>-1</v>
      </c>
      <c r="C24" s="1">
        <v>0</v>
      </c>
      <c r="D24" s="1">
        <v>1</v>
      </c>
      <c r="E24" s="1">
        <v>75949.19</v>
      </c>
      <c r="F24" s="1">
        <v>54</v>
      </c>
      <c r="G24" s="1">
        <v>20285.549999999996</v>
      </c>
    </row>
    <row r="25" spans="1:7" x14ac:dyDescent="0.2">
      <c r="A25" s="3" t="s">
        <v>191</v>
      </c>
      <c r="B25" s="1">
        <v>0</v>
      </c>
      <c r="C25" s="1">
        <v>-11.240000000000009</v>
      </c>
      <c r="D25" s="1">
        <v>1</v>
      </c>
      <c r="E25" s="1">
        <v>75949.19</v>
      </c>
      <c r="F25" s="1">
        <v>54</v>
      </c>
      <c r="G25" s="1">
        <v>20285.549999999996</v>
      </c>
    </row>
    <row r="26" spans="1:7" x14ac:dyDescent="0.2">
      <c r="A26" s="3" t="s">
        <v>348</v>
      </c>
      <c r="B26" s="1">
        <v>-1</v>
      </c>
      <c r="C26" s="1">
        <v>0</v>
      </c>
      <c r="D26" s="1">
        <v>1</v>
      </c>
      <c r="E26" s="1">
        <v>75949.19</v>
      </c>
      <c r="F26" s="1">
        <v>54</v>
      </c>
      <c r="G26" s="1">
        <v>20285.549999999996</v>
      </c>
    </row>
    <row r="27" spans="1:7" x14ac:dyDescent="0.2">
      <c r="A27" s="3" t="s">
        <v>380</v>
      </c>
      <c r="B27" s="1">
        <v>1</v>
      </c>
      <c r="C27" s="1">
        <v>0</v>
      </c>
      <c r="D27" s="1">
        <v>1</v>
      </c>
      <c r="E27" s="1">
        <v>75949.19</v>
      </c>
      <c r="F27" s="1">
        <v>54</v>
      </c>
      <c r="G27" s="1">
        <v>20285.549999999996</v>
      </c>
    </row>
    <row r="28" spans="1:7" x14ac:dyDescent="0.2">
      <c r="A28" s="3" t="s">
        <v>173</v>
      </c>
      <c r="B28" s="1">
        <v>-1</v>
      </c>
      <c r="C28" s="1">
        <v>-2.5299999999999727</v>
      </c>
      <c r="D28" s="1">
        <v>1</v>
      </c>
      <c r="E28" s="1">
        <v>75949.19</v>
      </c>
      <c r="F28" s="1">
        <v>54</v>
      </c>
      <c r="G28" s="1">
        <v>20285.549999999996</v>
      </c>
    </row>
    <row r="29" spans="1:7" x14ac:dyDescent="0.2">
      <c r="A29" s="3" t="s">
        <v>125</v>
      </c>
      <c r="B29" s="1">
        <v>-1</v>
      </c>
      <c r="C29" s="1">
        <v>-0.47000000000002728</v>
      </c>
      <c r="D29" s="1">
        <v>1</v>
      </c>
      <c r="E29" s="1">
        <v>75949.19</v>
      </c>
      <c r="F29" s="1">
        <v>54</v>
      </c>
      <c r="G29" s="1">
        <v>20285.549999999996</v>
      </c>
    </row>
    <row r="30" spans="1:7" x14ac:dyDescent="0.2">
      <c r="A30" s="3" t="s">
        <v>306</v>
      </c>
      <c r="B30" s="1">
        <v>-2</v>
      </c>
      <c r="C30" s="1">
        <v>-3.7100000000000364</v>
      </c>
      <c r="D30" s="1">
        <v>1</v>
      </c>
      <c r="E30" s="1">
        <v>75949.19</v>
      </c>
      <c r="F30" s="1">
        <v>54</v>
      </c>
      <c r="G30" s="1">
        <v>20285.549999999996</v>
      </c>
    </row>
    <row r="31" spans="1:7" x14ac:dyDescent="0.2">
      <c r="A31" s="3" t="s">
        <v>7</v>
      </c>
      <c r="B31" s="1">
        <v>0</v>
      </c>
      <c r="C31" s="1">
        <v>3.7400000000000091</v>
      </c>
      <c r="D31" s="1">
        <v>1</v>
      </c>
      <c r="E31" s="1">
        <v>75949.19</v>
      </c>
      <c r="F31" s="1">
        <v>54</v>
      </c>
      <c r="G31" s="1">
        <v>20285.549999999996</v>
      </c>
    </row>
    <row r="32" spans="1:7" x14ac:dyDescent="0.2">
      <c r="A32" s="3" t="s">
        <v>428</v>
      </c>
      <c r="B32" s="1">
        <v>0</v>
      </c>
      <c r="C32" s="1">
        <v>0</v>
      </c>
      <c r="D32" s="1">
        <v>1</v>
      </c>
      <c r="E32" s="1">
        <v>75949.19</v>
      </c>
      <c r="F32" s="1">
        <v>54</v>
      </c>
      <c r="G32" s="1">
        <v>20285.549999999996</v>
      </c>
    </row>
    <row r="33" spans="1:7" x14ac:dyDescent="0.2">
      <c r="A33" s="3" t="s">
        <v>390</v>
      </c>
      <c r="B33" s="1">
        <v>0</v>
      </c>
      <c r="C33" s="1">
        <v>1.3099999999999454</v>
      </c>
      <c r="D33" s="1">
        <v>1</v>
      </c>
      <c r="E33" s="1">
        <v>75949.19</v>
      </c>
      <c r="F33" s="1">
        <v>54</v>
      </c>
      <c r="G33" s="1">
        <v>20285.549999999996</v>
      </c>
    </row>
    <row r="34" spans="1:7" x14ac:dyDescent="0.2">
      <c r="A34" s="3" t="s">
        <v>153</v>
      </c>
      <c r="B34" s="1">
        <v>2</v>
      </c>
      <c r="C34" s="1">
        <v>10.199999999999818</v>
      </c>
      <c r="D34" s="1">
        <v>1</v>
      </c>
      <c r="E34" s="1">
        <v>75949.19</v>
      </c>
      <c r="F34" s="1">
        <v>54</v>
      </c>
      <c r="G34" s="1">
        <v>20285.549999999996</v>
      </c>
    </row>
    <row r="35" spans="1:7" x14ac:dyDescent="0.2">
      <c r="A35" s="3" t="s">
        <v>117</v>
      </c>
      <c r="B35" s="1">
        <v>1</v>
      </c>
      <c r="C35" s="1">
        <v>6.6099999999999</v>
      </c>
      <c r="D35" s="1">
        <v>1</v>
      </c>
      <c r="E35" s="1">
        <v>75949.19</v>
      </c>
      <c r="F35" s="1">
        <v>54</v>
      </c>
      <c r="G35" s="1">
        <v>20285.549999999996</v>
      </c>
    </row>
    <row r="36" spans="1:7" x14ac:dyDescent="0.2">
      <c r="A36" s="3" t="s">
        <v>292</v>
      </c>
      <c r="B36" s="1">
        <v>0</v>
      </c>
      <c r="C36" s="1">
        <v>0</v>
      </c>
      <c r="D36" s="1">
        <v>1</v>
      </c>
      <c r="E36" s="1">
        <v>75949.19</v>
      </c>
      <c r="F36" s="1">
        <v>54</v>
      </c>
      <c r="G36" s="1">
        <v>20285.549999999996</v>
      </c>
    </row>
    <row r="37" spans="1:7" x14ac:dyDescent="0.2">
      <c r="A37" s="3" t="s">
        <v>151</v>
      </c>
      <c r="B37" s="1">
        <v>2</v>
      </c>
      <c r="C37" s="1">
        <v>4.5899999999999181</v>
      </c>
      <c r="D37" s="1">
        <v>1</v>
      </c>
      <c r="E37" s="1">
        <v>75949.19</v>
      </c>
      <c r="F37" s="1">
        <v>54</v>
      </c>
      <c r="G37" s="1">
        <v>20285.549999999996</v>
      </c>
    </row>
    <row r="38" spans="1:7" x14ac:dyDescent="0.2">
      <c r="A38" s="3" t="s">
        <v>364</v>
      </c>
      <c r="B38" s="1">
        <v>-3</v>
      </c>
      <c r="C38" s="1">
        <v>-5.67999999999995</v>
      </c>
      <c r="D38" s="1">
        <v>1</v>
      </c>
      <c r="E38" s="1">
        <v>75949.19</v>
      </c>
      <c r="F38" s="1">
        <v>54</v>
      </c>
      <c r="G38" s="1">
        <v>20285.549999999996</v>
      </c>
    </row>
    <row r="39" spans="1:7" x14ac:dyDescent="0.2">
      <c r="A39" s="3" t="s">
        <v>95</v>
      </c>
      <c r="B39" s="1">
        <v>-5</v>
      </c>
      <c r="C39" s="1">
        <v>-13.509999999999991</v>
      </c>
      <c r="D39" s="1">
        <v>1</v>
      </c>
      <c r="E39" s="1">
        <v>75949.19</v>
      </c>
      <c r="F39" s="1">
        <v>54</v>
      </c>
      <c r="G39" s="1">
        <v>20285.549999999996</v>
      </c>
    </row>
    <row r="40" spans="1:7" x14ac:dyDescent="0.2">
      <c r="A40" s="3" t="s">
        <v>91</v>
      </c>
      <c r="B40" s="1">
        <v>2</v>
      </c>
      <c r="C40" s="1">
        <v>1.1800000000000637</v>
      </c>
      <c r="D40" s="1">
        <v>1</v>
      </c>
      <c r="E40" s="1">
        <v>75949.19</v>
      </c>
      <c r="F40" s="1">
        <v>54</v>
      </c>
      <c r="G40" s="1">
        <v>20285.549999999996</v>
      </c>
    </row>
    <row r="41" spans="1:7" x14ac:dyDescent="0.2">
      <c r="A41" s="3" t="s">
        <v>400</v>
      </c>
      <c r="B41" s="1">
        <v>1</v>
      </c>
      <c r="C41" s="1">
        <v>0</v>
      </c>
      <c r="D41" s="1">
        <v>1</v>
      </c>
      <c r="E41" s="1">
        <v>75949.19</v>
      </c>
      <c r="F41" s="1">
        <v>54</v>
      </c>
      <c r="G41" s="1">
        <v>20285.549999999996</v>
      </c>
    </row>
    <row r="42" spans="1:7" x14ac:dyDescent="0.2">
      <c r="A42" s="3" t="s">
        <v>274</v>
      </c>
      <c r="B42" s="1">
        <v>1</v>
      </c>
      <c r="C42" s="1">
        <v>0.91000000000008185</v>
      </c>
      <c r="D42" s="1">
        <v>1</v>
      </c>
      <c r="E42" s="1">
        <v>75949.19</v>
      </c>
      <c r="F42" s="1">
        <v>54</v>
      </c>
      <c r="G42" s="1">
        <v>20285.549999999996</v>
      </c>
    </row>
    <row r="43" spans="1:7" x14ac:dyDescent="0.2">
      <c r="A43" s="3" t="s">
        <v>372</v>
      </c>
      <c r="B43" s="1">
        <v>0</v>
      </c>
      <c r="C43" s="1">
        <v>-1.7599999999999909</v>
      </c>
      <c r="D43" s="1">
        <v>1</v>
      </c>
      <c r="E43" s="1">
        <v>75949.19</v>
      </c>
      <c r="F43" s="1">
        <v>54</v>
      </c>
      <c r="G43" s="1">
        <v>20285.549999999996</v>
      </c>
    </row>
    <row r="44" spans="1:7" x14ac:dyDescent="0.2">
      <c r="A44" s="3" t="s">
        <v>67</v>
      </c>
      <c r="B44" s="1">
        <v>0</v>
      </c>
      <c r="C44" s="1">
        <v>-5.25</v>
      </c>
      <c r="D44" s="1">
        <v>1</v>
      </c>
      <c r="E44" s="1">
        <v>75949.19</v>
      </c>
      <c r="F44" s="1">
        <v>54</v>
      </c>
      <c r="G44" s="1">
        <v>20285.549999999996</v>
      </c>
    </row>
    <row r="45" spans="1:7" x14ac:dyDescent="0.2">
      <c r="A45" s="3" t="s">
        <v>167</v>
      </c>
      <c r="B45" s="1">
        <v>-1</v>
      </c>
      <c r="C45" s="1">
        <v>0</v>
      </c>
      <c r="D45" s="1">
        <v>1</v>
      </c>
      <c r="E45" s="1">
        <v>75949.19</v>
      </c>
      <c r="F45" s="1">
        <v>54</v>
      </c>
      <c r="G45" s="1">
        <v>20285.549999999996</v>
      </c>
    </row>
    <row r="46" spans="1:7" x14ac:dyDescent="0.2">
      <c r="A46" s="3" t="s">
        <v>324</v>
      </c>
      <c r="B46" s="1">
        <v>0</v>
      </c>
      <c r="C46" s="1">
        <v>0</v>
      </c>
      <c r="D46" s="1">
        <v>1</v>
      </c>
      <c r="E46" s="1">
        <v>75949.19</v>
      </c>
      <c r="F46" s="1">
        <v>54</v>
      </c>
      <c r="G46" s="1">
        <v>20285.549999999996</v>
      </c>
    </row>
    <row r="47" spans="1:7" x14ac:dyDescent="0.2">
      <c r="A47" s="3" t="s">
        <v>41</v>
      </c>
      <c r="B47" s="1">
        <v>0</v>
      </c>
      <c r="C47" s="1">
        <v>6.9700000000000273</v>
      </c>
      <c r="D47" s="1">
        <v>1</v>
      </c>
      <c r="E47" s="1">
        <v>75949.19</v>
      </c>
      <c r="F47" s="1">
        <v>54</v>
      </c>
      <c r="G47" s="1">
        <v>20285.549999999996</v>
      </c>
    </row>
    <row r="48" spans="1:7" x14ac:dyDescent="0.2">
      <c r="A48" s="3" t="s">
        <v>268</v>
      </c>
      <c r="B48" s="1">
        <v>-2</v>
      </c>
      <c r="C48" s="1">
        <v>-4.2599999999999909</v>
      </c>
      <c r="D48" s="1">
        <v>1</v>
      </c>
      <c r="E48" s="1">
        <v>75949.19</v>
      </c>
      <c r="F48" s="1">
        <v>54</v>
      </c>
      <c r="G48" s="1">
        <v>20285.549999999996</v>
      </c>
    </row>
    <row r="49" spans="1:7" x14ac:dyDescent="0.2">
      <c r="A49" s="3" t="s">
        <v>209</v>
      </c>
      <c r="B49" s="1">
        <v>-1</v>
      </c>
      <c r="C49" s="1">
        <v>-6.2999999999999545</v>
      </c>
      <c r="D49" s="1">
        <v>1</v>
      </c>
      <c r="E49" s="1">
        <v>75949.19</v>
      </c>
      <c r="F49" s="1">
        <v>54</v>
      </c>
      <c r="G49" s="1">
        <v>20285.549999999996</v>
      </c>
    </row>
    <row r="50" spans="1:7" x14ac:dyDescent="0.2">
      <c r="A50" s="3" t="s">
        <v>155</v>
      </c>
      <c r="B50" s="1">
        <v>-1</v>
      </c>
      <c r="C50" s="1">
        <v>1.0800000000001546</v>
      </c>
      <c r="D50" s="1">
        <v>1</v>
      </c>
      <c r="E50" s="1">
        <v>75949.19</v>
      </c>
      <c r="F50" s="1">
        <v>54</v>
      </c>
      <c r="G50" s="1">
        <v>20285.549999999996</v>
      </c>
    </row>
    <row r="51" spans="1:7" x14ac:dyDescent="0.2">
      <c r="A51" s="3" t="s">
        <v>388</v>
      </c>
      <c r="B51" s="1">
        <v>0</v>
      </c>
      <c r="C51" s="1">
        <v>0</v>
      </c>
      <c r="D51" s="1">
        <v>1</v>
      </c>
      <c r="E51" s="1">
        <v>75949.19</v>
      </c>
      <c r="F51" s="1">
        <v>54</v>
      </c>
      <c r="G51" s="1">
        <v>20285.549999999996</v>
      </c>
    </row>
    <row r="52" spans="1:7" x14ac:dyDescent="0.2">
      <c r="A52" s="3" t="s">
        <v>71</v>
      </c>
      <c r="B52" s="1">
        <v>3</v>
      </c>
      <c r="C52" s="1">
        <v>3.5299999999999727</v>
      </c>
      <c r="D52" s="1">
        <v>1</v>
      </c>
      <c r="E52" s="1">
        <v>75949.19</v>
      </c>
      <c r="F52" s="1">
        <v>54</v>
      </c>
      <c r="G52" s="1">
        <v>20285.549999999996</v>
      </c>
    </row>
    <row r="53" spans="1:7" x14ac:dyDescent="0.2">
      <c r="A53" s="3" t="s">
        <v>105</v>
      </c>
      <c r="B53" s="1">
        <v>4</v>
      </c>
      <c r="C53" s="1">
        <v>7.1499999999998636</v>
      </c>
      <c r="D53" s="1">
        <v>1</v>
      </c>
      <c r="E53" s="1">
        <v>75949.19</v>
      </c>
      <c r="F53" s="1">
        <v>54</v>
      </c>
      <c r="G53" s="1">
        <v>20285.549999999996</v>
      </c>
    </row>
    <row r="54" spans="1:7" x14ac:dyDescent="0.2">
      <c r="A54" s="3" t="s">
        <v>31</v>
      </c>
      <c r="B54" s="1">
        <v>3</v>
      </c>
      <c r="C54" s="1">
        <v>13.490000000000009</v>
      </c>
      <c r="D54" s="1">
        <v>1</v>
      </c>
      <c r="E54" s="1">
        <v>75949.19</v>
      </c>
      <c r="F54" s="1">
        <v>54</v>
      </c>
      <c r="G54" s="1">
        <v>20285.549999999996</v>
      </c>
    </row>
    <row r="55" spans="1:7" x14ac:dyDescent="0.2">
      <c r="A55" s="3" t="s">
        <v>344</v>
      </c>
      <c r="B55" s="1">
        <v>0</v>
      </c>
      <c r="C55" s="1">
        <v>0</v>
      </c>
      <c r="D55" s="1">
        <v>1</v>
      </c>
      <c r="E55" s="1">
        <v>75949.19</v>
      </c>
      <c r="F55" s="1">
        <v>54</v>
      </c>
      <c r="G55" s="1">
        <v>20285.549999999996</v>
      </c>
    </row>
    <row r="56" spans="1:7" x14ac:dyDescent="0.2">
      <c r="A56" s="3" t="s">
        <v>181</v>
      </c>
      <c r="B56" s="1">
        <v>-2</v>
      </c>
      <c r="C56" s="1">
        <v>-14.709999999999809</v>
      </c>
      <c r="D56" s="1">
        <v>1</v>
      </c>
      <c r="E56" s="1">
        <v>75949.19</v>
      </c>
      <c r="F56" s="1">
        <v>54</v>
      </c>
      <c r="G56" s="1">
        <v>20285.549999999996</v>
      </c>
    </row>
    <row r="57" spans="1:7" x14ac:dyDescent="0.2">
      <c r="A57" s="3" t="s">
        <v>230</v>
      </c>
      <c r="B57" s="1">
        <v>-2</v>
      </c>
      <c r="C57" s="1">
        <v>3.2999999999999545</v>
      </c>
      <c r="D57" s="1">
        <v>1</v>
      </c>
      <c r="E57" s="1">
        <v>75949.19</v>
      </c>
      <c r="F57" s="1">
        <v>54</v>
      </c>
      <c r="G57" s="1">
        <v>20285.549999999996</v>
      </c>
    </row>
    <row r="58" spans="1:7" x14ac:dyDescent="0.2">
      <c r="A58" s="3" t="s">
        <v>79</v>
      </c>
      <c r="B58" s="1">
        <v>-3</v>
      </c>
      <c r="C58" s="1">
        <v>-10.690000000000055</v>
      </c>
      <c r="D58" s="1">
        <v>1</v>
      </c>
      <c r="E58" s="1">
        <v>75949.19</v>
      </c>
      <c r="F58" s="1">
        <v>54</v>
      </c>
      <c r="G58" s="1">
        <v>20285.549999999996</v>
      </c>
    </row>
    <row r="59" spans="1:7" x14ac:dyDescent="0.2">
      <c r="A59" s="3" t="s">
        <v>27</v>
      </c>
      <c r="B59" s="1">
        <v>0</v>
      </c>
      <c r="C59" s="1">
        <v>1.0999999999999091</v>
      </c>
      <c r="D59" s="1">
        <v>1</v>
      </c>
      <c r="E59" s="1">
        <v>75949.19</v>
      </c>
      <c r="F59" s="1">
        <v>54</v>
      </c>
      <c r="G59" s="1">
        <v>20285.549999999996</v>
      </c>
    </row>
    <row r="60" spans="1:7" x14ac:dyDescent="0.2">
      <c r="A60" s="3" t="s">
        <v>396</v>
      </c>
      <c r="B60" s="1">
        <v>0</v>
      </c>
      <c r="C60" s="1">
        <v>-2.7900000000000773</v>
      </c>
      <c r="D60" s="1">
        <v>1</v>
      </c>
      <c r="E60" s="1">
        <v>75949.19</v>
      </c>
      <c r="F60" s="1">
        <v>54</v>
      </c>
      <c r="G60" s="1">
        <v>20285.549999999996</v>
      </c>
    </row>
    <row r="61" spans="1:7" x14ac:dyDescent="0.2">
      <c r="A61" s="3" t="s">
        <v>378</v>
      </c>
      <c r="B61" s="1">
        <v>1</v>
      </c>
      <c r="C61" s="1">
        <v>0</v>
      </c>
      <c r="D61" s="1">
        <v>1</v>
      </c>
      <c r="E61" s="1">
        <v>75949.19</v>
      </c>
      <c r="F61" s="1">
        <v>54</v>
      </c>
      <c r="G61" s="1">
        <v>20285.549999999996</v>
      </c>
    </row>
    <row r="62" spans="1:7" x14ac:dyDescent="0.2">
      <c r="A62" s="3" t="s">
        <v>316</v>
      </c>
      <c r="B62" s="1">
        <v>-2</v>
      </c>
      <c r="C62" s="1">
        <v>0</v>
      </c>
      <c r="D62" s="1">
        <v>1</v>
      </c>
      <c r="E62" s="1">
        <v>75949.19</v>
      </c>
      <c r="F62" s="1">
        <v>54</v>
      </c>
      <c r="G62" s="1">
        <v>20285.549999999996</v>
      </c>
    </row>
    <row r="63" spans="1:7" x14ac:dyDescent="0.2">
      <c r="A63" s="3" t="s">
        <v>97</v>
      </c>
      <c r="B63" s="1">
        <v>0</v>
      </c>
      <c r="C63" s="1">
        <v>0.65000000000009095</v>
      </c>
      <c r="D63" s="1">
        <v>1</v>
      </c>
      <c r="E63" s="1">
        <v>75949.19</v>
      </c>
      <c r="F63" s="1">
        <v>54</v>
      </c>
      <c r="G63" s="1">
        <v>20285.549999999996</v>
      </c>
    </row>
    <row r="64" spans="1:7" x14ac:dyDescent="0.2">
      <c r="A64" s="3" t="s">
        <v>87</v>
      </c>
      <c r="B64" s="1">
        <v>1</v>
      </c>
      <c r="C64" s="1">
        <v>3.8099999999999454</v>
      </c>
      <c r="D64" s="1">
        <v>1</v>
      </c>
      <c r="E64" s="1">
        <v>75949.19</v>
      </c>
      <c r="F64" s="1">
        <v>54</v>
      </c>
      <c r="G64" s="1">
        <v>20285.549999999996</v>
      </c>
    </row>
    <row r="65" spans="1:7" x14ac:dyDescent="0.2">
      <c r="A65" s="3" t="s">
        <v>157</v>
      </c>
      <c r="B65" s="1">
        <v>-3</v>
      </c>
      <c r="C65" s="1">
        <v>-2.9700000000000273</v>
      </c>
      <c r="D65" s="1">
        <v>1</v>
      </c>
      <c r="E65" s="1">
        <v>75949.19</v>
      </c>
      <c r="F65" s="1">
        <v>54</v>
      </c>
      <c r="G65" s="1">
        <v>20285.549999999996</v>
      </c>
    </row>
    <row r="66" spans="1:7" x14ac:dyDescent="0.2">
      <c r="A66" s="3" t="s">
        <v>17</v>
      </c>
      <c r="B66" s="1">
        <v>0</v>
      </c>
      <c r="C66" s="1">
        <v>-8.9900000000000091</v>
      </c>
      <c r="D66" s="1">
        <v>1</v>
      </c>
      <c r="E66" s="1">
        <v>75949.19</v>
      </c>
      <c r="F66" s="1">
        <v>54</v>
      </c>
      <c r="G66" s="1">
        <v>20285.549999999996</v>
      </c>
    </row>
    <row r="67" spans="1:7" x14ac:dyDescent="0.2">
      <c r="A67" s="3" t="s">
        <v>205</v>
      </c>
      <c r="B67" s="1">
        <v>0</v>
      </c>
      <c r="C67" s="1">
        <v>0.33000000000015461</v>
      </c>
      <c r="D67" s="1">
        <v>1</v>
      </c>
      <c r="E67" s="1">
        <v>75949.19</v>
      </c>
      <c r="F67" s="1">
        <v>54</v>
      </c>
      <c r="G67" s="1">
        <v>20285.549999999996</v>
      </c>
    </row>
    <row r="68" spans="1:7" x14ac:dyDescent="0.2">
      <c r="A68" s="3" t="s">
        <v>410</v>
      </c>
      <c r="B68" s="1">
        <v>1</v>
      </c>
      <c r="C68" s="1">
        <v>0</v>
      </c>
      <c r="D68" s="1">
        <v>1</v>
      </c>
      <c r="E68" s="1">
        <v>75949.19</v>
      </c>
      <c r="F68" s="1">
        <v>54</v>
      </c>
      <c r="G68" s="1">
        <v>20285.549999999996</v>
      </c>
    </row>
    <row r="69" spans="1:7" x14ac:dyDescent="0.2">
      <c r="A69" s="3" t="s">
        <v>228</v>
      </c>
      <c r="B69" s="1">
        <v>1</v>
      </c>
      <c r="C69" s="1">
        <v>7.2400000000000091</v>
      </c>
      <c r="D69" s="1">
        <v>1</v>
      </c>
      <c r="E69" s="1">
        <v>75949.19</v>
      </c>
      <c r="F69" s="1">
        <v>54</v>
      </c>
      <c r="G69" s="1">
        <v>20285.549999999996</v>
      </c>
    </row>
    <row r="70" spans="1:7" x14ac:dyDescent="0.2">
      <c r="A70" s="3" t="s">
        <v>296</v>
      </c>
      <c r="B70" s="1">
        <v>1</v>
      </c>
      <c r="C70" s="1">
        <v>0</v>
      </c>
      <c r="D70" s="1">
        <v>1</v>
      </c>
      <c r="E70" s="1">
        <v>75949.19</v>
      </c>
      <c r="F70" s="1">
        <v>54</v>
      </c>
      <c r="G70" s="1">
        <v>20285.549999999996</v>
      </c>
    </row>
    <row r="71" spans="1:7" x14ac:dyDescent="0.2">
      <c r="A71" s="3" t="s">
        <v>286</v>
      </c>
      <c r="B71" s="1">
        <v>0</v>
      </c>
      <c r="C71" s="1">
        <v>2.9200000000000728</v>
      </c>
      <c r="D71" s="1">
        <v>1</v>
      </c>
      <c r="E71" s="1">
        <v>75949.19</v>
      </c>
      <c r="F71" s="1">
        <v>54</v>
      </c>
      <c r="G71" s="1">
        <v>20285.549999999996</v>
      </c>
    </row>
    <row r="72" spans="1:7" x14ac:dyDescent="0.2">
      <c r="A72" s="3" t="s">
        <v>254</v>
      </c>
      <c r="B72" s="1">
        <v>3</v>
      </c>
      <c r="C72" s="1">
        <v>10.880000000000109</v>
      </c>
      <c r="D72" s="1">
        <v>1</v>
      </c>
      <c r="E72" s="1">
        <v>75949.19</v>
      </c>
      <c r="F72" s="1">
        <v>54</v>
      </c>
      <c r="G72" s="1">
        <v>20285.549999999996</v>
      </c>
    </row>
    <row r="73" spans="1:7" x14ac:dyDescent="0.2">
      <c r="A73" s="3" t="s">
        <v>336</v>
      </c>
      <c r="B73" s="1">
        <v>0</v>
      </c>
      <c r="C73" s="1">
        <v>-3.9400000000000546</v>
      </c>
      <c r="D73" s="1">
        <v>1</v>
      </c>
      <c r="E73" s="1">
        <v>75949.19</v>
      </c>
      <c r="F73" s="1">
        <v>54</v>
      </c>
      <c r="G73" s="1">
        <v>20285.549999999996</v>
      </c>
    </row>
    <row r="74" spans="1:7" x14ac:dyDescent="0.2">
      <c r="A74" s="3" t="s">
        <v>121</v>
      </c>
      <c r="B74" s="1">
        <v>3</v>
      </c>
      <c r="C74" s="1">
        <v>7.1899999999998272</v>
      </c>
      <c r="D74" s="1">
        <v>1</v>
      </c>
      <c r="E74" s="1">
        <v>75949.19</v>
      </c>
      <c r="F74" s="1">
        <v>54</v>
      </c>
      <c r="G74" s="1">
        <v>20285.549999999996</v>
      </c>
    </row>
    <row r="75" spans="1:7" x14ac:dyDescent="0.2">
      <c r="A75" s="3" t="s">
        <v>15</v>
      </c>
      <c r="B75" s="1">
        <v>0</v>
      </c>
      <c r="C75" s="1">
        <v>-5.0699999999999363</v>
      </c>
      <c r="D75" s="1">
        <v>1</v>
      </c>
      <c r="E75" s="1">
        <v>75949.19</v>
      </c>
      <c r="F75" s="1">
        <v>54</v>
      </c>
      <c r="G75" s="1">
        <v>20285.549999999996</v>
      </c>
    </row>
    <row r="76" spans="1:7" x14ac:dyDescent="0.2">
      <c r="A76" s="3" t="s">
        <v>171</v>
      </c>
      <c r="B76" s="1">
        <v>-2</v>
      </c>
      <c r="C76" s="1">
        <v>0</v>
      </c>
      <c r="D76" s="1">
        <v>1</v>
      </c>
      <c r="E76" s="1">
        <v>75949.19</v>
      </c>
      <c r="F76" s="1">
        <v>54</v>
      </c>
      <c r="G76" s="1">
        <v>20285.549999999996</v>
      </c>
    </row>
    <row r="77" spans="1:7" x14ac:dyDescent="0.2">
      <c r="A77" s="3" t="s">
        <v>165</v>
      </c>
      <c r="B77" s="1">
        <v>4</v>
      </c>
      <c r="C77" s="1">
        <v>10.879999999999882</v>
      </c>
      <c r="D77" s="1">
        <v>1</v>
      </c>
      <c r="E77" s="1">
        <v>75949.19</v>
      </c>
      <c r="F77" s="1">
        <v>54</v>
      </c>
      <c r="G77" s="1">
        <v>20285.549999999996</v>
      </c>
    </row>
    <row r="78" spans="1:7" x14ac:dyDescent="0.2">
      <c r="A78" s="3" t="s">
        <v>29</v>
      </c>
      <c r="B78" s="1">
        <v>0</v>
      </c>
      <c r="C78" s="1">
        <v>-8.75</v>
      </c>
      <c r="D78" s="1">
        <v>1</v>
      </c>
      <c r="E78" s="1">
        <v>75949.19</v>
      </c>
      <c r="F78" s="1">
        <v>54</v>
      </c>
      <c r="G78" s="1">
        <v>20285.549999999996</v>
      </c>
    </row>
    <row r="79" spans="1:7" x14ac:dyDescent="0.2">
      <c r="A79" s="3" t="s">
        <v>131</v>
      </c>
      <c r="B79" s="1">
        <v>-1</v>
      </c>
      <c r="C79" s="1">
        <v>-0.47000000000002728</v>
      </c>
      <c r="D79" s="1">
        <v>1</v>
      </c>
      <c r="E79" s="1">
        <v>75949.19</v>
      </c>
      <c r="F79" s="1">
        <v>54</v>
      </c>
      <c r="G79" s="1">
        <v>20285.549999999996</v>
      </c>
    </row>
    <row r="80" spans="1:7" x14ac:dyDescent="0.2">
      <c r="A80" s="3" t="s">
        <v>418</v>
      </c>
      <c r="B80" s="1">
        <v>-4</v>
      </c>
      <c r="C80" s="1">
        <v>-4.3899999999999864</v>
      </c>
      <c r="D80" s="1">
        <v>1</v>
      </c>
      <c r="E80" s="1">
        <v>75949.19</v>
      </c>
      <c r="F80" s="1">
        <v>54</v>
      </c>
      <c r="G80" s="1">
        <v>20285.549999999996</v>
      </c>
    </row>
    <row r="81" spans="1:7" x14ac:dyDescent="0.2">
      <c r="A81" s="3" t="s">
        <v>113</v>
      </c>
      <c r="B81" s="1">
        <v>-3</v>
      </c>
      <c r="C81" s="1">
        <v>-3.8500000000001364</v>
      </c>
      <c r="D81" s="1">
        <v>1</v>
      </c>
      <c r="E81" s="1">
        <v>75949.19</v>
      </c>
      <c r="F81" s="1">
        <v>54</v>
      </c>
      <c r="G81" s="1">
        <v>20285.549999999996</v>
      </c>
    </row>
    <row r="82" spans="1:7" x14ac:dyDescent="0.2">
      <c r="A82" s="3" t="s">
        <v>356</v>
      </c>
      <c r="B82" s="1">
        <v>-2</v>
      </c>
      <c r="C82" s="1">
        <v>-5.2799999999999727</v>
      </c>
      <c r="D82" s="1">
        <v>1</v>
      </c>
      <c r="E82" s="1">
        <v>75949.19</v>
      </c>
      <c r="F82" s="1">
        <v>54</v>
      </c>
      <c r="G82" s="1">
        <v>20285.549999999996</v>
      </c>
    </row>
    <row r="83" spans="1:7" x14ac:dyDescent="0.2">
      <c r="A83" s="3" t="s">
        <v>420</v>
      </c>
      <c r="B83" s="1">
        <v>0</v>
      </c>
      <c r="C83" s="1">
        <v>0</v>
      </c>
      <c r="D83" s="1">
        <v>1</v>
      </c>
      <c r="E83" s="1">
        <v>75949.19</v>
      </c>
      <c r="F83" s="1">
        <v>54</v>
      </c>
      <c r="G83" s="1">
        <v>20285.549999999996</v>
      </c>
    </row>
    <row r="84" spans="1:7" x14ac:dyDescent="0.2">
      <c r="A84" s="3" t="s">
        <v>246</v>
      </c>
      <c r="B84" s="1">
        <v>0</v>
      </c>
      <c r="C84" s="1">
        <v>-5.2599999999999909</v>
      </c>
      <c r="D84" s="1">
        <v>1</v>
      </c>
      <c r="E84" s="1">
        <v>75949.19</v>
      </c>
      <c r="F84" s="1">
        <v>54</v>
      </c>
      <c r="G84" s="1">
        <v>20285.549999999996</v>
      </c>
    </row>
    <row r="85" spans="1:7" x14ac:dyDescent="0.2">
      <c r="A85" s="3" t="s">
        <v>175</v>
      </c>
      <c r="B85" s="1">
        <v>0</v>
      </c>
      <c r="C85" s="1">
        <v>-4.4200000000000728</v>
      </c>
      <c r="D85" s="1">
        <v>1</v>
      </c>
      <c r="E85" s="1">
        <v>75949.19</v>
      </c>
      <c r="F85" s="1">
        <v>54</v>
      </c>
      <c r="G85" s="1">
        <v>20285.549999999996</v>
      </c>
    </row>
    <row r="86" spans="1:7" x14ac:dyDescent="0.2">
      <c r="A86" s="3" t="s">
        <v>242</v>
      </c>
      <c r="B86" s="1">
        <v>-1</v>
      </c>
      <c r="C86" s="1">
        <v>-4.8199999999999363</v>
      </c>
      <c r="D86" s="1">
        <v>1</v>
      </c>
      <c r="E86" s="1">
        <v>75949.19</v>
      </c>
      <c r="F86" s="1">
        <v>54</v>
      </c>
      <c r="G86" s="1">
        <v>20285.549999999996</v>
      </c>
    </row>
    <row r="87" spans="1:7" x14ac:dyDescent="0.2">
      <c r="A87" s="3" t="s">
        <v>352</v>
      </c>
      <c r="B87" s="1">
        <v>1</v>
      </c>
      <c r="C87" s="1">
        <v>0</v>
      </c>
      <c r="D87" s="1">
        <v>1</v>
      </c>
      <c r="E87" s="1">
        <v>75949.19</v>
      </c>
      <c r="F87" s="1">
        <v>54</v>
      </c>
      <c r="G87" s="1">
        <v>20285.549999999996</v>
      </c>
    </row>
    <row r="88" spans="1:7" x14ac:dyDescent="0.2">
      <c r="A88" s="3" t="s">
        <v>183</v>
      </c>
      <c r="B88" s="1">
        <v>1</v>
      </c>
      <c r="C88" s="1">
        <v>0</v>
      </c>
      <c r="D88" s="1">
        <v>1</v>
      </c>
      <c r="E88" s="1">
        <v>75949.19</v>
      </c>
      <c r="F88" s="1">
        <v>54</v>
      </c>
      <c r="G88" s="1">
        <v>20285.549999999996</v>
      </c>
    </row>
    <row r="89" spans="1:7" x14ac:dyDescent="0.2">
      <c r="A89" s="3" t="s">
        <v>169</v>
      </c>
      <c r="B89" s="1">
        <v>0</v>
      </c>
      <c r="C89" s="1">
        <v>2.2899999999999636</v>
      </c>
      <c r="D89" s="1">
        <v>1</v>
      </c>
      <c r="E89" s="1">
        <v>75949.19</v>
      </c>
      <c r="F89" s="1">
        <v>54</v>
      </c>
      <c r="G89" s="1">
        <v>20285.549999999996</v>
      </c>
    </row>
    <row r="90" spans="1:7" x14ac:dyDescent="0.2">
      <c r="A90" s="3" t="s">
        <v>300</v>
      </c>
      <c r="B90" s="1">
        <v>2</v>
      </c>
      <c r="C90" s="1">
        <v>4.0200000000002092</v>
      </c>
      <c r="D90" s="1">
        <v>1</v>
      </c>
      <c r="E90" s="1">
        <v>75949.19</v>
      </c>
      <c r="F90" s="1">
        <v>54</v>
      </c>
      <c r="G90" s="1">
        <v>20285.549999999996</v>
      </c>
    </row>
    <row r="91" spans="1:7" x14ac:dyDescent="0.2">
      <c r="A91" s="3" t="s">
        <v>81</v>
      </c>
      <c r="B91" s="1">
        <v>1</v>
      </c>
      <c r="C91" s="1">
        <v>5.4400000000000546</v>
      </c>
      <c r="D91" s="1">
        <v>1</v>
      </c>
      <c r="E91" s="1">
        <v>75949.19</v>
      </c>
      <c r="F91" s="1">
        <v>54</v>
      </c>
      <c r="G91" s="1">
        <v>20285.549999999996</v>
      </c>
    </row>
    <row r="92" spans="1:7" x14ac:dyDescent="0.2">
      <c r="A92" s="3" t="s">
        <v>133</v>
      </c>
      <c r="B92" s="1">
        <v>1</v>
      </c>
      <c r="C92" s="1">
        <v>4.8000000000001819</v>
      </c>
      <c r="D92" s="1">
        <v>1</v>
      </c>
      <c r="E92" s="1">
        <v>75949.19</v>
      </c>
      <c r="F92" s="1">
        <v>54</v>
      </c>
      <c r="G92" s="1">
        <v>20285.549999999996</v>
      </c>
    </row>
    <row r="93" spans="1:7" x14ac:dyDescent="0.2">
      <c r="A93" s="3" t="s">
        <v>222</v>
      </c>
      <c r="B93" s="1">
        <v>-2</v>
      </c>
      <c r="C93" s="1">
        <v>-6.5600000000001728</v>
      </c>
      <c r="D93" s="1">
        <v>1</v>
      </c>
      <c r="E93" s="1">
        <v>75949.19</v>
      </c>
      <c r="F93" s="1">
        <v>54</v>
      </c>
      <c r="G93" s="1">
        <v>20285.549999999996</v>
      </c>
    </row>
    <row r="94" spans="1:7" x14ac:dyDescent="0.2">
      <c r="A94" s="3" t="s">
        <v>314</v>
      </c>
      <c r="B94" s="1">
        <v>3</v>
      </c>
      <c r="C94" s="1">
        <v>14.710000000000036</v>
      </c>
      <c r="D94" s="1">
        <v>1</v>
      </c>
      <c r="E94" s="1">
        <v>75949.19</v>
      </c>
      <c r="F94" s="1">
        <v>54</v>
      </c>
      <c r="G94" s="1">
        <v>20285.549999999996</v>
      </c>
    </row>
    <row r="95" spans="1:7" x14ac:dyDescent="0.2">
      <c r="A95" s="3" t="s">
        <v>48</v>
      </c>
      <c r="B95" s="1">
        <v>2</v>
      </c>
      <c r="C95" s="1">
        <v>5.9699999999997999</v>
      </c>
      <c r="D95" s="1">
        <v>1</v>
      </c>
      <c r="E95" s="1">
        <v>75949.19</v>
      </c>
      <c r="F95" s="1">
        <v>54</v>
      </c>
      <c r="G95" s="1">
        <v>20285.549999999996</v>
      </c>
    </row>
    <row r="96" spans="1:7" x14ac:dyDescent="0.2">
      <c r="A96" s="3" t="s">
        <v>145</v>
      </c>
      <c r="B96" s="1">
        <v>2</v>
      </c>
      <c r="C96" s="1">
        <v>4.0999999999999091</v>
      </c>
      <c r="D96" s="1">
        <v>1</v>
      </c>
      <c r="E96" s="1">
        <v>75949.19</v>
      </c>
      <c r="F96" s="1">
        <v>54</v>
      </c>
      <c r="G96" s="1">
        <v>20285.549999999996</v>
      </c>
    </row>
    <row r="97" spans="1:7" x14ac:dyDescent="0.2">
      <c r="A97" s="3" t="s">
        <v>161</v>
      </c>
      <c r="B97" s="1">
        <v>0</v>
      </c>
      <c r="C97" s="1">
        <v>0.20000000000004547</v>
      </c>
      <c r="D97" s="1">
        <v>1</v>
      </c>
      <c r="E97" s="1">
        <v>75949.19</v>
      </c>
      <c r="F97" s="1">
        <v>54</v>
      </c>
      <c r="G97" s="1">
        <v>20285.549999999996</v>
      </c>
    </row>
    <row r="98" spans="1:7" x14ac:dyDescent="0.2">
      <c r="A98" s="3" t="s">
        <v>19</v>
      </c>
      <c r="B98" s="1">
        <v>1</v>
      </c>
      <c r="C98" s="1">
        <v>12.2800000000002</v>
      </c>
      <c r="D98" s="1">
        <v>1</v>
      </c>
      <c r="E98" s="1">
        <v>75949.19</v>
      </c>
      <c r="F98" s="1">
        <v>54</v>
      </c>
      <c r="G98" s="1">
        <v>20285.549999999996</v>
      </c>
    </row>
    <row r="99" spans="1:7" x14ac:dyDescent="0.2">
      <c r="A99" s="3" t="s">
        <v>137</v>
      </c>
      <c r="B99" s="1">
        <v>-2</v>
      </c>
      <c r="C99" s="1">
        <v>-3.2000000000000455</v>
      </c>
      <c r="D99" s="1">
        <v>1</v>
      </c>
      <c r="E99" s="1">
        <v>75949.19</v>
      </c>
      <c r="F99" s="1">
        <v>54</v>
      </c>
      <c r="G99" s="1">
        <v>20285.549999999996</v>
      </c>
    </row>
    <row r="100" spans="1:7" x14ac:dyDescent="0.2">
      <c r="A100" s="3" t="s">
        <v>57</v>
      </c>
      <c r="B100" s="1">
        <v>0</v>
      </c>
      <c r="C100" s="1">
        <v>4.8499999999999091</v>
      </c>
      <c r="D100" s="1">
        <v>1</v>
      </c>
      <c r="E100" s="1">
        <v>75949.19</v>
      </c>
      <c r="F100" s="1">
        <v>54</v>
      </c>
      <c r="G100" s="1">
        <v>20285.549999999996</v>
      </c>
    </row>
    <row r="101" spans="1:7" x14ac:dyDescent="0.2">
      <c r="A101" s="3" t="s">
        <v>177</v>
      </c>
      <c r="B101" s="1">
        <v>2</v>
      </c>
      <c r="C101" s="1">
        <v>10.25</v>
      </c>
      <c r="D101" s="1">
        <v>1</v>
      </c>
      <c r="E101" s="1">
        <v>75949.19</v>
      </c>
      <c r="F101" s="1">
        <v>54</v>
      </c>
      <c r="G101" s="1">
        <v>20285.549999999996</v>
      </c>
    </row>
    <row r="102" spans="1:7" x14ac:dyDescent="0.2">
      <c r="A102" s="3" t="s">
        <v>236</v>
      </c>
      <c r="B102" s="1">
        <v>1</v>
      </c>
      <c r="C102" s="1">
        <v>0.35000000000013642</v>
      </c>
      <c r="D102" s="1">
        <v>1</v>
      </c>
      <c r="E102" s="1">
        <v>75949.19</v>
      </c>
      <c r="F102" s="1">
        <v>54</v>
      </c>
      <c r="G102" s="1">
        <v>20285.549999999996</v>
      </c>
    </row>
    <row r="103" spans="1:7" x14ac:dyDescent="0.2">
      <c r="A103" s="3" t="s">
        <v>211</v>
      </c>
      <c r="B103" s="1">
        <v>1</v>
      </c>
      <c r="C103" s="1">
        <v>0</v>
      </c>
      <c r="D103" s="1">
        <v>1</v>
      </c>
      <c r="E103" s="1">
        <v>75949.19</v>
      </c>
      <c r="F103" s="1">
        <v>54</v>
      </c>
      <c r="G103" s="1">
        <v>20285.549999999996</v>
      </c>
    </row>
    <row r="104" spans="1:7" x14ac:dyDescent="0.2">
      <c r="A104" s="3" t="s">
        <v>234</v>
      </c>
      <c r="B104" s="1">
        <v>0</v>
      </c>
      <c r="C104" s="1">
        <v>0</v>
      </c>
      <c r="D104" s="1">
        <v>1</v>
      </c>
      <c r="E104" s="1">
        <v>75949.19</v>
      </c>
      <c r="F104" s="1">
        <v>54</v>
      </c>
      <c r="G104" s="1">
        <v>20285.549999999996</v>
      </c>
    </row>
    <row r="105" spans="1:7" x14ac:dyDescent="0.2">
      <c r="A105" s="3" t="s">
        <v>65</v>
      </c>
      <c r="B105" s="1">
        <v>0</v>
      </c>
      <c r="C105" s="1">
        <v>4.2799999999999727</v>
      </c>
      <c r="D105" s="1">
        <v>1</v>
      </c>
      <c r="E105" s="1">
        <v>75949.19</v>
      </c>
      <c r="F105" s="1">
        <v>54</v>
      </c>
      <c r="G105" s="1">
        <v>20285.549999999996</v>
      </c>
    </row>
    <row r="106" spans="1:7" x14ac:dyDescent="0.2">
      <c r="A106" s="3" t="s">
        <v>224</v>
      </c>
      <c r="B106" s="1">
        <v>-1</v>
      </c>
      <c r="C106" s="1">
        <v>3.1099999999999</v>
      </c>
      <c r="D106" s="1">
        <v>1</v>
      </c>
      <c r="E106" s="1">
        <v>75949.19</v>
      </c>
      <c r="F106" s="1">
        <v>54</v>
      </c>
      <c r="G106" s="1">
        <v>20285.549999999996</v>
      </c>
    </row>
    <row r="107" spans="1:7" x14ac:dyDescent="0.2">
      <c r="A107" s="3" t="s">
        <v>308</v>
      </c>
      <c r="B107" s="1">
        <v>0</v>
      </c>
      <c r="C107" s="1">
        <v>0</v>
      </c>
      <c r="D107" s="1">
        <v>1</v>
      </c>
      <c r="E107" s="1">
        <v>75949.19</v>
      </c>
      <c r="F107" s="1">
        <v>54</v>
      </c>
      <c r="G107" s="1">
        <v>20285.549999999996</v>
      </c>
    </row>
    <row r="108" spans="1:7" x14ac:dyDescent="0.2">
      <c r="A108" s="3" t="s">
        <v>199</v>
      </c>
      <c r="B108" s="1">
        <v>0</v>
      </c>
      <c r="C108" s="1">
        <v>-2.6900000000000546</v>
      </c>
      <c r="D108" s="1">
        <v>1</v>
      </c>
      <c r="E108" s="1">
        <v>75949.19</v>
      </c>
      <c r="F108" s="1">
        <v>54</v>
      </c>
      <c r="G108" s="1">
        <v>20285.549999999996</v>
      </c>
    </row>
    <row r="109" spans="1:7" x14ac:dyDescent="0.2">
      <c r="A109" s="3" t="s">
        <v>384</v>
      </c>
      <c r="B109" s="1">
        <v>-4</v>
      </c>
      <c r="C109" s="1">
        <v>-9.1499999999999773</v>
      </c>
      <c r="D109" s="1">
        <v>1</v>
      </c>
      <c r="E109" s="1">
        <v>75949.19</v>
      </c>
      <c r="F109" s="1">
        <v>54</v>
      </c>
      <c r="G109" s="1">
        <v>20285.549999999996</v>
      </c>
    </row>
    <row r="110" spans="1:7" x14ac:dyDescent="0.2">
      <c r="A110" s="3" t="s">
        <v>278</v>
      </c>
      <c r="B110" s="1">
        <v>-5</v>
      </c>
      <c r="C110" s="1">
        <v>-11.149999999999864</v>
      </c>
      <c r="D110" s="1">
        <v>1</v>
      </c>
      <c r="E110" s="1">
        <v>75949.19</v>
      </c>
      <c r="F110" s="1">
        <v>54</v>
      </c>
      <c r="G110" s="1">
        <v>20285.549999999996</v>
      </c>
    </row>
    <row r="111" spans="1:7" x14ac:dyDescent="0.2">
      <c r="A111" s="3" t="s">
        <v>207</v>
      </c>
      <c r="B111" s="1">
        <v>1</v>
      </c>
      <c r="C111" s="1">
        <v>0</v>
      </c>
      <c r="D111" s="1">
        <v>1</v>
      </c>
      <c r="E111" s="1">
        <v>75949.19</v>
      </c>
      <c r="F111" s="1">
        <v>54</v>
      </c>
      <c r="G111" s="1">
        <v>20285.549999999996</v>
      </c>
    </row>
    <row r="112" spans="1:7" x14ac:dyDescent="0.2">
      <c r="A112" s="3" t="s">
        <v>304</v>
      </c>
      <c r="B112" s="1">
        <v>-2</v>
      </c>
      <c r="C112" s="1">
        <v>0</v>
      </c>
      <c r="D112" s="1">
        <v>1</v>
      </c>
      <c r="E112" s="1">
        <v>75949.19</v>
      </c>
      <c r="F112" s="1">
        <v>54</v>
      </c>
      <c r="G112" s="1">
        <v>20285.549999999996</v>
      </c>
    </row>
    <row r="113" spans="1:7" x14ac:dyDescent="0.2">
      <c r="A113" s="3" t="s">
        <v>310</v>
      </c>
      <c r="B113" s="1">
        <v>0</v>
      </c>
      <c r="C113" s="1">
        <v>-1.5899999999999181</v>
      </c>
      <c r="D113" s="1">
        <v>1</v>
      </c>
      <c r="E113" s="1">
        <v>75949.19</v>
      </c>
      <c r="F113" s="1">
        <v>54</v>
      </c>
      <c r="G113" s="1">
        <v>20285.549999999996</v>
      </c>
    </row>
    <row r="114" spans="1:7" x14ac:dyDescent="0.2">
      <c r="A114" s="3" t="s">
        <v>250</v>
      </c>
      <c r="B114" s="1">
        <v>1</v>
      </c>
      <c r="C114" s="1">
        <v>5.8900000000001</v>
      </c>
      <c r="D114" s="1">
        <v>1</v>
      </c>
      <c r="E114" s="1">
        <v>75949.19</v>
      </c>
      <c r="F114" s="1">
        <v>54</v>
      </c>
      <c r="G114" s="1">
        <v>20285.549999999996</v>
      </c>
    </row>
    <row r="115" spans="1:7" x14ac:dyDescent="0.2">
      <c r="A115" s="3" t="s">
        <v>402</v>
      </c>
      <c r="B115" s="1">
        <v>-2</v>
      </c>
      <c r="C115" s="1">
        <v>-11.600000000000023</v>
      </c>
      <c r="D115" s="1">
        <v>1</v>
      </c>
      <c r="E115" s="1">
        <v>75949.19</v>
      </c>
      <c r="F115" s="1">
        <v>54</v>
      </c>
      <c r="G115" s="1">
        <v>20285.549999999996</v>
      </c>
    </row>
    <row r="116" spans="1:7" x14ac:dyDescent="0.2">
      <c r="A116" s="3" t="s">
        <v>298</v>
      </c>
      <c r="B116" s="1">
        <v>-2</v>
      </c>
      <c r="C116" s="1">
        <v>-4.3299999999999272</v>
      </c>
      <c r="D116" s="1">
        <v>1</v>
      </c>
      <c r="E116" s="1">
        <v>75949.19</v>
      </c>
      <c r="F116" s="1">
        <v>54</v>
      </c>
      <c r="G116" s="1">
        <v>20285.549999999996</v>
      </c>
    </row>
    <row r="117" spans="1:7" x14ac:dyDescent="0.2">
      <c r="A117" s="3" t="s">
        <v>193</v>
      </c>
      <c r="B117" s="1">
        <v>1</v>
      </c>
      <c r="C117" s="1">
        <v>8.4400000000000546</v>
      </c>
      <c r="D117" s="1">
        <v>1</v>
      </c>
      <c r="E117" s="1">
        <v>75949.19</v>
      </c>
      <c r="F117" s="1">
        <v>54</v>
      </c>
      <c r="G117" s="1">
        <v>20285.549999999996</v>
      </c>
    </row>
    <row r="118" spans="1:7" x14ac:dyDescent="0.2">
      <c r="A118" s="3" t="s">
        <v>374</v>
      </c>
      <c r="B118" s="1">
        <v>0</v>
      </c>
      <c r="C118" s="1">
        <v>0</v>
      </c>
      <c r="D118" s="1">
        <v>1</v>
      </c>
      <c r="E118" s="1">
        <v>75949.19</v>
      </c>
      <c r="F118" s="1">
        <v>54</v>
      </c>
      <c r="G118" s="1">
        <v>20285.549999999996</v>
      </c>
    </row>
    <row r="119" spans="1:7" x14ac:dyDescent="0.2">
      <c r="A119" s="3" t="s">
        <v>213</v>
      </c>
      <c r="B119" s="1">
        <v>3</v>
      </c>
      <c r="C119" s="1">
        <v>6.9600000000000364</v>
      </c>
      <c r="D119" s="1">
        <v>1</v>
      </c>
      <c r="E119" s="1">
        <v>75949.19</v>
      </c>
      <c r="F119" s="1">
        <v>54</v>
      </c>
      <c r="G119" s="1">
        <v>20285.549999999996</v>
      </c>
    </row>
    <row r="120" spans="1:7" x14ac:dyDescent="0.2">
      <c r="A120" s="3" t="s">
        <v>258</v>
      </c>
      <c r="B120" s="1">
        <v>-2</v>
      </c>
      <c r="C120" s="1">
        <v>0.20000000000004547</v>
      </c>
      <c r="D120" s="1">
        <v>1</v>
      </c>
      <c r="E120" s="1">
        <v>75949.19</v>
      </c>
      <c r="F120" s="1">
        <v>54</v>
      </c>
      <c r="G120" s="1">
        <v>20285.549999999996</v>
      </c>
    </row>
    <row r="121" spans="1:7" x14ac:dyDescent="0.2">
      <c r="A121" s="3" t="s">
        <v>302</v>
      </c>
      <c r="B121" s="1">
        <v>2</v>
      </c>
      <c r="C121" s="1">
        <v>4.7300000000000182</v>
      </c>
      <c r="D121" s="1">
        <v>1</v>
      </c>
      <c r="E121" s="1">
        <v>75949.19</v>
      </c>
      <c r="F121" s="1">
        <v>54</v>
      </c>
      <c r="G121" s="1">
        <v>20285.549999999996</v>
      </c>
    </row>
    <row r="122" spans="1:7" x14ac:dyDescent="0.2">
      <c r="A122" s="3" t="s">
        <v>318</v>
      </c>
      <c r="B122" s="1">
        <v>2</v>
      </c>
      <c r="C122" s="1">
        <v>7.8399999999999181</v>
      </c>
      <c r="D122" s="1">
        <v>1</v>
      </c>
      <c r="E122" s="1">
        <v>75949.19</v>
      </c>
      <c r="F122" s="1">
        <v>54</v>
      </c>
      <c r="G122" s="1">
        <v>20285.549999999996</v>
      </c>
    </row>
    <row r="123" spans="1:7" x14ac:dyDescent="0.2">
      <c r="A123" s="3" t="s">
        <v>101</v>
      </c>
      <c r="B123" s="1">
        <v>0</v>
      </c>
      <c r="C123" s="1">
        <v>5.9699999999997999</v>
      </c>
      <c r="D123" s="1">
        <v>1</v>
      </c>
      <c r="E123" s="1">
        <v>75949.19</v>
      </c>
      <c r="F123" s="1">
        <v>54</v>
      </c>
      <c r="G123" s="1">
        <v>20285.549999999996</v>
      </c>
    </row>
    <row r="124" spans="1:7" x14ac:dyDescent="0.2">
      <c r="A124" s="3" t="s">
        <v>346</v>
      </c>
      <c r="B124" s="1">
        <v>1</v>
      </c>
      <c r="C124" s="1">
        <v>3.2400000000000091</v>
      </c>
      <c r="D124" s="1">
        <v>1</v>
      </c>
      <c r="E124" s="1">
        <v>75949.19</v>
      </c>
      <c r="F124" s="1">
        <v>54</v>
      </c>
      <c r="G124" s="1">
        <v>20285.549999999996</v>
      </c>
    </row>
    <row r="125" spans="1:7" x14ac:dyDescent="0.2">
      <c r="A125" s="3" t="s">
        <v>215</v>
      </c>
      <c r="B125" s="1">
        <v>4</v>
      </c>
      <c r="C125" s="1">
        <v>15.720000000000027</v>
      </c>
      <c r="D125" s="1">
        <v>1</v>
      </c>
      <c r="E125" s="1">
        <v>75949.19</v>
      </c>
      <c r="F125" s="1">
        <v>54</v>
      </c>
      <c r="G125" s="1">
        <v>20285.549999999996</v>
      </c>
    </row>
    <row r="126" spans="1:7" x14ac:dyDescent="0.2">
      <c r="A126" s="3" t="s">
        <v>370</v>
      </c>
      <c r="B126" s="1">
        <v>0</v>
      </c>
      <c r="C126" s="1">
        <v>0</v>
      </c>
      <c r="D126" s="1">
        <v>1</v>
      </c>
      <c r="E126" s="1">
        <v>75949.19</v>
      </c>
      <c r="F126" s="1">
        <v>54</v>
      </c>
      <c r="G126" s="1">
        <v>20285.549999999996</v>
      </c>
    </row>
    <row r="127" spans="1:7" x14ac:dyDescent="0.2">
      <c r="A127" s="3" t="s">
        <v>33</v>
      </c>
      <c r="B127" s="1">
        <v>-1</v>
      </c>
      <c r="C127" s="1">
        <v>-4.6799999999998363</v>
      </c>
      <c r="D127" s="1">
        <v>1</v>
      </c>
      <c r="E127" s="1">
        <v>75949.19</v>
      </c>
      <c r="F127" s="1">
        <v>54</v>
      </c>
      <c r="G127" s="1">
        <v>20285.549999999996</v>
      </c>
    </row>
    <row r="128" spans="1:7" x14ac:dyDescent="0.2">
      <c r="A128" s="3" t="s">
        <v>358</v>
      </c>
      <c r="B128" s="1">
        <v>3</v>
      </c>
      <c r="C128" s="1">
        <v>16.269999999999982</v>
      </c>
      <c r="D128" s="1">
        <v>1</v>
      </c>
      <c r="E128" s="1">
        <v>75949.19</v>
      </c>
      <c r="F128" s="1">
        <v>54</v>
      </c>
      <c r="G128" s="1">
        <v>20285.549999999996</v>
      </c>
    </row>
    <row r="129" spans="1:7" x14ac:dyDescent="0.2">
      <c r="A129" s="3" t="s">
        <v>376</v>
      </c>
      <c r="B129" s="1">
        <v>1</v>
      </c>
      <c r="C129" s="1">
        <v>0</v>
      </c>
      <c r="D129" s="1">
        <v>1</v>
      </c>
      <c r="E129" s="1">
        <v>75949.19</v>
      </c>
      <c r="F129" s="1">
        <v>54</v>
      </c>
      <c r="G129" s="1">
        <v>20285.549999999996</v>
      </c>
    </row>
    <row r="130" spans="1:7" x14ac:dyDescent="0.2">
      <c r="A130" s="3" t="s">
        <v>147</v>
      </c>
      <c r="B130" s="1">
        <v>-2</v>
      </c>
      <c r="C130" s="1">
        <v>-13.559999999999945</v>
      </c>
      <c r="D130" s="1">
        <v>1</v>
      </c>
      <c r="E130" s="1">
        <v>75949.19</v>
      </c>
      <c r="F130" s="1">
        <v>54</v>
      </c>
      <c r="G130" s="1">
        <v>20285.549999999996</v>
      </c>
    </row>
    <row r="131" spans="1:7" x14ac:dyDescent="0.2">
      <c r="A131" s="3" t="s">
        <v>368</v>
      </c>
      <c r="B131" s="1">
        <v>-1</v>
      </c>
      <c r="C131" s="1">
        <v>0</v>
      </c>
      <c r="D131" s="1">
        <v>1</v>
      </c>
      <c r="E131" s="1">
        <v>75949.19</v>
      </c>
      <c r="F131" s="1">
        <v>54</v>
      </c>
      <c r="G131" s="1">
        <v>20285.549999999996</v>
      </c>
    </row>
    <row r="132" spans="1:7" x14ac:dyDescent="0.2">
      <c r="A132" s="3" t="s">
        <v>53</v>
      </c>
      <c r="B132" s="1">
        <v>1</v>
      </c>
      <c r="C132" s="1">
        <v>5.1500000000000909</v>
      </c>
      <c r="D132" s="1">
        <v>1</v>
      </c>
      <c r="E132" s="1">
        <v>75949.19</v>
      </c>
      <c r="F132" s="1">
        <v>54</v>
      </c>
      <c r="G132" s="1">
        <v>20285.549999999996</v>
      </c>
    </row>
    <row r="133" spans="1:7" x14ac:dyDescent="0.2">
      <c r="A133" s="3" t="s">
        <v>238</v>
      </c>
      <c r="B133" s="1">
        <v>2</v>
      </c>
      <c r="C133" s="1">
        <v>-0.19000000000005457</v>
      </c>
      <c r="D133" s="1">
        <v>1</v>
      </c>
      <c r="E133" s="1">
        <v>75949.19</v>
      </c>
      <c r="F133" s="1">
        <v>54</v>
      </c>
      <c r="G133" s="1">
        <v>20285.549999999996</v>
      </c>
    </row>
    <row r="134" spans="1:7" x14ac:dyDescent="0.2">
      <c r="A134" s="3" t="s">
        <v>326</v>
      </c>
      <c r="B134" s="1">
        <v>0</v>
      </c>
      <c r="C134" s="1">
        <v>-4.0199999999999818</v>
      </c>
      <c r="D134" s="1">
        <v>1</v>
      </c>
      <c r="E134" s="1">
        <v>75949.19</v>
      </c>
      <c r="F134" s="1">
        <v>54</v>
      </c>
      <c r="G134" s="1">
        <v>20285.549999999996</v>
      </c>
    </row>
    <row r="135" spans="1:7" x14ac:dyDescent="0.2">
      <c r="A135" s="3" t="s">
        <v>240</v>
      </c>
      <c r="B135" s="1">
        <v>2</v>
      </c>
      <c r="C135" s="1">
        <v>0</v>
      </c>
      <c r="D135" s="1">
        <v>1</v>
      </c>
      <c r="E135" s="1">
        <v>75949.19</v>
      </c>
      <c r="F135" s="1">
        <v>54</v>
      </c>
      <c r="G135" s="1">
        <v>20285.549999999996</v>
      </c>
    </row>
    <row r="136" spans="1:7" x14ac:dyDescent="0.2">
      <c r="A136" s="3" t="s">
        <v>360</v>
      </c>
      <c r="B136" s="1">
        <v>1</v>
      </c>
      <c r="C136" s="1">
        <v>4.4099999999999682</v>
      </c>
      <c r="D136" s="1">
        <v>1</v>
      </c>
      <c r="E136" s="1">
        <v>75949.19</v>
      </c>
      <c r="F136" s="1">
        <v>54</v>
      </c>
      <c r="G136" s="1">
        <v>20285.549999999996</v>
      </c>
    </row>
    <row r="137" spans="1:7" x14ac:dyDescent="0.2">
      <c r="A137" s="3" t="s">
        <v>23</v>
      </c>
      <c r="B137" s="1">
        <v>0</v>
      </c>
      <c r="C137" s="1">
        <v>15.099999999999909</v>
      </c>
      <c r="D137" s="1">
        <v>1</v>
      </c>
      <c r="E137" s="1">
        <v>75949.19</v>
      </c>
      <c r="F137" s="1">
        <v>54</v>
      </c>
      <c r="G137" s="1">
        <v>20285.549999999996</v>
      </c>
    </row>
    <row r="138" spans="1:7" x14ac:dyDescent="0.2">
      <c r="A138" s="3" t="s">
        <v>332</v>
      </c>
      <c r="B138" s="1">
        <v>-1</v>
      </c>
      <c r="C138" s="1">
        <v>-4.1200000000000045</v>
      </c>
      <c r="D138" s="1">
        <v>1</v>
      </c>
      <c r="E138" s="1">
        <v>75949.19</v>
      </c>
      <c r="F138" s="1">
        <v>54</v>
      </c>
      <c r="G138" s="1">
        <v>20285.549999999996</v>
      </c>
    </row>
    <row r="139" spans="1:7" x14ac:dyDescent="0.2">
      <c r="A139" s="3" t="s">
        <v>219</v>
      </c>
      <c r="B139" s="1">
        <v>-2</v>
      </c>
      <c r="C139" s="1">
        <v>-4.9800000000000182</v>
      </c>
      <c r="D139" s="1">
        <v>1</v>
      </c>
      <c r="E139" s="1">
        <v>75949.19</v>
      </c>
      <c r="F139" s="1">
        <v>54</v>
      </c>
      <c r="G139" s="1">
        <v>20285.549999999996</v>
      </c>
    </row>
    <row r="140" spans="1:7" x14ac:dyDescent="0.2">
      <c r="A140" s="3" t="s">
        <v>294</v>
      </c>
      <c r="B140" s="1">
        <v>-3</v>
      </c>
      <c r="C140" s="1">
        <v>-7.3500000000001364</v>
      </c>
      <c r="D140" s="1">
        <v>1</v>
      </c>
      <c r="E140" s="1">
        <v>75949.19</v>
      </c>
      <c r="F140" s="1">
        <v>54</v>
      </c>
      <c r="G140" s="1">
        <v>20285.549999999996</v>
      </c>
    </row>
    <row r="141" spans="1:7" x14ac:dyDescent="0.2">
      <c r="A141" s="3" t="s">
        <v>252</v>
      </c>
      <c r="B141" s="1">
        <v>-2</v>
      </c>
      <c r="C141" s="1">
        <v>-2.4300000000000637</v>
      </c>
      <c r="D141" s="1">
        <v>1</v>
      </c>
      <c r="E141" s="1">
        <v>75949.19</v>
      </c>
      <c r="F141" s="1">
        <v>54</v>
      </c>
      <c r="G141" s="1">
        <v>20285.549999999996</v>
      </c>
    </row>
    <row r="142" spans="1:7" x14ac:dyDescent="0.2">
      <c r="A142" s="3" t="s">
        <v>73</v>
      </c>
      <c r="B142" s="1">
        <v>-1</v>
      </c>
      <c r="C142" s="1">
        <v>-6.2300000000000182</v>
      </c>
      <c r="D142" s="1">
        <v>1</v>
      </c>
      <c r="E142" s="1">
        <v>75949.19</v>
      </c>
      <c r="F142" s="1">
        <v>54</v>
      </c>
      <c r="G142" s="1">
        <v>20285.549999999996</v>
      </c>
    </row>
    <row r="143" spans="1:7" x14ac:dyDescent="0.2">
      <c r="A143" s="3" t="s">
        <v>139</v>
      </c>
      <c r="B143" s="1">
        <v>-1</v>
      </c>
      <c r="C143" s="1">
        <v>-16.690000000000055</v>
      </c>
      <c r="D143" s="1">
        <v>1</v>
      </c>
      <c r="E143" s="1">
        <v>75949.19</v>
      </c>
      <c r="F143" s="1">
        <v>54</v>
      </c>
      <c r="G143" s="1">
        <v>20285.549999999996</v>
      </c>
    </row>
    <row r="144" spans="1:7" x14ac:dyDescent="0.2">
      <c r="A144" s="3" t="s">
        <v>127</v>
      </c>
      <c r="B144" s="1">
        <v>-1</v>
      </c>
      <c r="C144" s="1">
        <v>-2.5499999999999545</v>
      </c>
      <c r="D144" s="1">
        <v>1</v>
      </c>
      <c r="E144" s="1">
        <v>75949.19</v>
      </c>
      <c r="F144" s="1">
        <v>54</v>
      </c>
      <c r="G144" s="1">
        <v>20285.549999999996</v>
      </c>
    </row>
    <row r="145" spans="1:7" x14ac:dyDescent="0.2">
      <c r="A145" s="3" t="s">
        <v>93</v>
      </c>
      <c r="B145" s="1">
        <v>-6</v>
      </c>
      <c r="C145" s="1">
        <v>-15.529999999999973</v>
      </c>
      <c r="D145" s="1">
        <v>1</v>
      </c>
      <c r="E145" s="1">
        <v>75949.19</v>
      </c>
      <c r="F145" s="1">
        <v>54</v>
      </c>
      <c r="G145" s="1">
        <v>20285.549999999996</v>
      </c>
    </row>
    <row r="146" spans="1:7" x14ac:dyDescent="0.2">
      <c r="A146" s="3" t="s">
        <v>159</v>
      </c>
      <c r="B146" s="1">
        <v>0</v>
      </c>
      <c r="C146" s="1">
        <v>-2.7400000000000091</v>
      </c>
      <c r="D146" s="1">
        <v>1</v>
      </c>
      <c r="E146" s="1">
        <v>75949.19</v>
      </c>
      <c r="F146" s="1">
        <v>54</v>
      </c>
      <c r="G146" s="1">
        <v>20285.549999999996</v>
      </c>
    </row>
    <row r="147" spans="1:7" x14ac:dyDescent="0.2">
      <c r="A147" s="3" t="s">
        <v>398</v>
      </c>
      <c r="B147" s="1">
        <v>1</v>
      </c>
      <c r="C147" s="1">
        <v>0</v>
      </c>
      <c r="D147" s="1">
        <v>1</v>
      </c>
      <c r="E147" s="1">
        <v>75949.19</v>
      </c>
      <c r="F147" s="1">
        <v>54</v>
      </c>
      <c r="G147" s="1">
        <v>20285.549999999996</v>
      </c>
    </row>
    <row r="148" spans="1:7" x14ac:dyDescent="0.2">
      <c r="A148" s="3" t="s">
        <v>197</v>
      </c>
      <c r="B148" s="1">
        <v>0</v>
      </c>
      <c r="C148" s="1">
        <v>0</v>
      </c>
      <c r="D148" s="1">
        <v>1</v>
      </c>
      <c r="E148" s="1">
        <v>75949.19</v>
      </c>
      <c r="F148" s="1">
        <v>54</v>
      </c>
      <c r="G148" s="1">
        <v>20285.549999999996</v>
      </c>
    </row>
    <row r="149" spans="1:7" x14ac:dyDescent="0.2">
      <c r="A149" s="3" t="s">
        <v>129</v>
      </c>
      <c r="B149" s="1">
        <v>1</v>
      </c>
      <c r="C149" s="1">
        <v>4.0099999999999909</v>
      </c>
      <c r="D149" s="1">
        <v>1</v>
      </c>
      <c r="E149" s="1">
        <v>75949.19</v>
      </c>
      <c r="F149" s="1">
        <v>54</v>
      </c>
      <c r="G149" s="1">
        <v>20285.549999999996</v>
      </c>
    </row>
    <row r="150" spans="1:7" x14ac:dyDescent="0.2">
      <c r="A150" s="3" t="s">
        <v>328</v>
      </c>
      <c r="B150" s="1">
        <v>2</v>
      </c>
      <c r="C150" s="1">
        <v>9.8600000000000136</v>
      </c>
      <c r="D150" s="1">
        <v>1</v>
      </c>
      <c r="E150" s="1">
        <v>75949.19</v>
      </c>
      <c r="F150" s="1">
        <v>54</v>
      </c>
      <c r="G150" s="1">
        <v>20285.549999999996</v>
      </c>
    </row>
    <row r="151" spans="1:7" x14ac:dyDescent="0.2">
      <c r="A151" s="3" t="s">
        <v>103</v>
      </c>
      <c r="B151" s="1">
        <v>3</v>
      </c>
      <c r="C151" s="1">
        <v>8.6399999999998727</v>
      </c>
      <c r="D151" s="1">
        <v>1</v>
      </c>
      <c r="E151" s="1">
        <v>75949.19</v>
      </c>
      <c r="F151" s="1">
        <v>54</v>
      </c>
      <c r="G151" s="1">
        <v>20285.549999999996</v>
      </c>
    </row>
    <row r="152" spans="1:7" x14ac:dyDescent="0.2">
      <c r="A152" s="3" t="s">
        <v>55</v>
      </c>
      <c r="B152" s="1">
        <v>-2</v>
      </c>
      <c r="C152" s="1">
        <v>-1.2300000000000182</v>
      </c>
      <c r="D152" s="1">
        <v>1</v>
      </c>
      <c r="E152" s="1">
        <v>75949.19</v>
      </c>
      <c r="F152" s="1">
        <v>54</v>
      </c>
      <c r="G152" s="1">
        <v>20285.549999999996</v>
      </c>
    </row>
    <row r="153" spans="1:7" x14ac:dyDescent="0.2">
      <c r="A153" s="3" t="s">
        <v>276</v>
      </c>
      <c r="B153" s="1">
        <v>1</v>
      </c>
      <c r="C153" s="1">
        <v>0</v>
      </c>
      <c r="D153" s="1">
        <v>1</v>
      </c>
      <c r="E153" s="1">
        <v>75949.19</v>
      </c>
      <c r="F153" s="1">
        <v>54</v>
      </c>
      <c r="G153" s="1">
        <v>20285.549999999996</v>
      </c>
    </row>
    <row r="154" spans="1:7" x14ac:dyDescent="0.2">
      <c r="A154" s="3" t="s">
        <v>61</v>
      </c>
      <c r="B154" s="1">
        <v>0</v>
      </c>
      <c r="C154" s="1">
        <v>2.4099999999998545</v>
      </c>
      <c r="D154" s="1">
        <v>1</v>
      </c>
      <c r="E154" s="1">
        <v>75949.19</v>
      </c>
      <c r="F154" s="1">
        <v>54</v>
      </c>
      <c r="G154" s="1">
        <v>20285.549999999996</v>
      </c>
    </row>
    <row r="155" spans="1:7" x14ac:dyDescent="0.2">
      <c r="A155" s="3" t="s">
        <v>25</v>
      </c>
      <c r="B155" s="1">
        <v>0</v>
      </c>
      <c r="C155" s="1">
        <v>-2.0900000000001455</v>
      </c>
      <c r="D155" s="1">
        <v>1</v>
      </c>
      <c r="E155" s="1">
        <v>75949.19</v>
      </c>
      <c r="F155" s="1">
        <v>54</v>
      </c>
      <c r="G155" s="1">
        <v>20285.549999999996</v>
      </c>
    </row>
    <row r="156" spans="1:7" x14ac:dyDescent="0.2">
      <c r="A156" s="3" t="s">
        <v>350</v>
      </c>
      <c r="B156" s="1">
        <v>0</v>
      </c>
      <c r="C156" s="1">
        <v>0</v>
      </c>
      <c r="D156" s="1">
        <v>1</v>
      </c>
      <c r="E156" s="1">
        <v>75949.19</v>
      </c>
      <c r="F156" s="1">
        <v>54</v>
      </c>
      <c r="G156" s="1">
        <v>20285.549999999996</v>
      </c>
    </row>
    <row r="157" spans="1:7" x14ac:dyDescent="0.2">
      <c r="A157" s="3" t="s">
        <v>109</v>
      </c>
      <c r="B157" s="1">
        <v>-2</v>
      </c>
      <c r="C157" s="1">
        <v>-2.0799999999999272</v>
      </c>
      <c r="D157" s="1">
        <v>1</v>
      </c>
      <c r="E157" s="1">
        <v>75949.19</v>
      </c>
      <c r="F157" s="1">
        <v>54</v>
      </c>
      <c r="G157" s="1">
        <v>20285.549999999996</v>
      </c>
    </row>
    <row r="158" spans="1:7" x14ac:dyDescent="0.2">
      <c r="A158" s="3" t="s">
        <v>107</v>
      </c>
      <c r="B158" s="1">
        <v>-2</v>
      </c>
      <c r="C158" s="1">
        <v>-2.2899999999999636</v>
      </c>
      <c r="D158" s="1">
        <v>1</v>
      </c>
      <c r="E158" s="1">
        <v>75949.19</v>
      </c>
      <c r="F158" s="1">
        <v>54</v>
      </c>
      <c r="G158" s="1">
        <v>20285.549999999996</v>
      </c>
    </row>
    <row r="159" spans="1:7" x14ac:dyDescent="0.2">
      <c r="A159" s="3" t="s">
        <v>115</v>
      </c>
      <c r="B159" s="1">
        <v>1</v>
      </c>
      <c r="C159" s="1">
        <v>6.8400000000001455</v>
      </c>
      <c r="D159" s="1">
        <v>1</v>
      </c>
      <c r="E159" s="1">
        <v>75949.19</v>
      </c>
      <c r="F159" s="1">
        <v>54</v>
      </c>
      <c r="G159" s="1">
        <v>20285.549999999996</v>
      </c>
    </row>
    <row r="160" spans="1:7" x14ac:dyDescent="0.2">
      <c r="A160" s="3" t="s">
        <v>75</v>
      </c>
      <c r="B160" s="1">
        <v>2</v>
      </c>
      <c r="C160" s="1">
        <v>2.6899999999998272</v>
      </c>
      <c r="D160" s="1">
        <v>1</v>
      </c>
      <c r="E160" s="1">
        <v>75949.19</v>
      </c>
      <c r="F160" s="1">
        <v>54</v>
      </c>
      <c r="G160" s="1">
        <v>20285.549999999996</v>
      </c>
    </row>
    <row r="161" spans="1:7" x14ac:dyDescent="0.2">
      <c r="A161" s="3" t="s">
        <v>284</v>
      </c>
      <c r="B161" s="1">
        <v>-1</v>
      </c>
      <c r="C161" s="1">
        <v>-1.3799999999998818</v>
      </c>
      <c r="D161" s="1">
        <v>1</v>
      </c>
      <c r="E161" s="1">
        <v>75949.19</v>
      </c>
      <c r="F161" s="1">
        <v>54</v>
      </c>
      <c r="G161" s="1">
        <v>20285.549999999996</v>
      </c>
    </row>
    <row r="162" spans="1:7" x14ac:dyDescent="0.2">
      <c r="A162" s="3" t="s">
        <v>392</v>
      </c>
      <c r="B162" s="1">
        <v>0</v>
      </c>
      <c r="C162" s="1">
        <v>0</v>
      </c>
      <c r="D162" s="1">
        <v>1</v>
      </c>
      <c r="E162" s="1">
        <v>75949.19</v>
      </c>
      <c r="F162" s="1">
        <v>54</v>
      </c>
      <c r="G162" s="1">
        <v>20285.549999999996</v>
      </c>
    </row>
    <row r="163" spans="1:7" x14ac:dyDescent="0.2">
      <c r="A163" s="3" t="s">
        <v>432</v>
      </c>
      <c r="B163" s="1">
        <v>0</v>
      </c>
      <c r="C163" s="1">
        <v>-1.6000000000000227</v>
      </c>
      <c r="D163" s="1">
        <v>1</v>
      </c>
      <c r="E163" s="1">
        <v>75949.19</v>
      </c>
      <c r="F163" s="1">
        <v>54</v>
      </c>
      <c r="G163" s="1">
        <v>20285.549999999996</v>
      </c>
    </row>
    <row r="164" spans="1:7" x14ac:dyDescent="0.2">
      <c r="A164" s="3" t="s">
        <v>382</v>
      </c>
      <c r="B164" s="1">
        <v>1</v>
      </c>
      <c r="C164" s="1">
        <v>0</v>
      </c>
      <c r="D164" s="1">
        <v>1</v>
      </c>
      <c r="E164" s="1">
        <v>75949.19</v>
      </c>
      <c r="F164" s="1">
        <v>54</v>
      </c>
      <c r="G164" s="1">
        <v>20285.549999999996</v>
      </c>
    </row>
    <row r="165" spans="1:7" x14ac:dyDescent="0.2">
      <c r="A165" s="3" t="s">
        <v>111</v>
      </c>
      <c r="B165" s="1">
        <v>2</v>
      </c>
      <c r="C165" s="1">
        <v>2.0399999999999636</v>
      </c>
      <c r="D165" s="1">
        <v>1</v>
      </c>
      <c r="E165" s="1">
        <v>75949.19</v>
      </c>
      <c r="F165" s="1">
        <v>54</v>
      </c>
      <c r="G165" s="1">
        <v>20285.549999999996</v>
      </c>
    </row>
    <row r="166" spans="1:7" x14ac:dyDescent="0.2">
      <c r="A166" s="3" t="s">
        <v>89</v>
      </c>
      <c r="B166" s="1">
        <v>5</v>
      </c>
      <c r="C166" s="1">
        <v>16.569999999999936</v>
      </c>
      <c r="D166" s="1">
        <v>1</v>
      </c>
      <c r="E166" s="1">
        <v>75949.19</v>
      </c>
      <c r="F166" s="1">
        <v>54</v>
      </c>
      <c r="G166" s="1">
        <v>20285.549999999996</v>
      </c>
    </row>
    <row r="167" spans="1:7" x14ac:dyDescent="0.2">
      <c r="A167" s="3" t="s">
        <v>43</v>
      </c>
      <c r="B167" s="1">
        <v>0</v>
      </c>
      <c r="C167" s="1">
        <v>-0.20999999999980901</v>
      </c>
      <c r="D167" s="1">
        <v>1</v>
      </c>
      <c r="E167" s="1">
        <v>75949.19</v>
      </c>
      <c r="F167" s="1">
        <v>54</v>
      </c>
      <c r="G167" s="1">
        <v>20285.549999999996</v>
      </c>
    </row>
    <row r="168" spans="1:7" x14ac:dyDescent="0.2">
      <c r="A168" s="3" t="s">
        <v>51</v>
      </c>
      <c r="B168" s="1">
        <v>4</v>
      </c>
      <c r="C168" s="1">
        <v>14.089999999999918</v>
      </c>
      <c r="D168" s="1">
        <v>1</v>
      </c>
      <c r="E168" s="1">
        <v>75949.19</v>
      </c>
      <c r="F168" s="1">
        <v>54</v>
      </c>
      <c r="G168" s="1">
        <v>20285.549999999996</v>
      </c>
    </row>
    <row r="169" spans="1:7" x14ac:dyDescent="0.2">
      <c r="A169" s="3" t="s">
        <v>408</v>
      </c>
      <c r="B169" s="1">
        <v>-1</v>
      </c>
      <c r="C169" s="1">
        <v>-0.92000000000007276</v>
      </c>
      <c r="D169" s="1">
        <v>1</v>
      </c>
      <c r="E169" s="1">
        <v>75949.19</v>
      </c>
      <c r="F169" s="1">
        <v>54</v>
      </c>
      <c r="G169" s="1">
        <v>20285.549999999996</v>
      </c>
    </row>
    <row r="170" spans="1:7" x14ac:dyDescent="0.2">
      <c r="A170" s="3" t="s">
        <v>244</v>
      </c>
      <c r="B170" s="1">
        <v>-4</v>
      </c>
      <c r="C170" s="1">
        <v>-9.4000000000000909</v>
      </c>
      <c r="D170" s="1">
        <v>1</v>
      </c>
      <c r="E170" s="1">
        <v>75949.19</v>
      </c>
      <c r="F170" s="1">
        <v>54</v>
      </c>
      <c r="G170" s="1">
        <v>20285.549999999996</v>
      </c>
    </row>
    <row r="171" spans="1:7" x14ac:dyDescent="0.2">
      <c r="A171" s="3" t="s">
        <v>330</v>
      </c>
      <c r="B171" s="1">
        <v>-1</v>
      </c>
      <c r="C171" s="1">
        <v>-1.25</v>
      </c>
      <c r="D171" s="1">
        <v>1</v>
      </c>
      <c r="E171" s="1">
        <v>75949.19</v>
      </c>
      <c r="F171" s="1">
        <v>54</v>
      </c>
      <c r="G171" s="1">
        <v>20285.549999999996</v>
      </c>
    </row>
    <row r="172" spans="1:7" x14ac:dyDescent="0.2">
      <c r="A172" s="3" t="s">
        <v>119</v>
      </c>
      <c r="B172" s="1">
        <v>-4</v>
      </c>
      <c r="C172" s="1">
        <v>-14.400000000000091</v>
      </c>
      <c r="D172" s="1">
        <v>1</v>
      </c>
      <c r="E172" s="1">
        <v>75949.19</v>
      </c>
      <c r="F172" s="1">
        <v>54</v>
      </c>
      <c r="G172" s="1">
        <v>20285.549999999996</v>
      </c>
    </row>
    <row r="173" spans="1:7" x14ac:dyDescent="0.2">
      <c r="A173" s="3" t="s">
        <v>135</v>
      </c>
      <c r="B173" s="1">
        <v>2</v>
      </c>
      <c r="C173" s="1">
        <v>11.559999999999945</v>
      </c>
      <c r="D173" s="1">
        <v>1</v>
      </c>
      <c r="E173" s="1">
        <v>75949.19</v>
      </c>
      <c r="F173" s="1">
        <v>54</v>
      </c>
      <c r="G173" s="1">
        <v>20285.549999999996</v>
      </c>
    </row>
    <row r="174" spans="1:7" x14ac:dyDescent="0.2">
      <c r="A174" s="3" t="s">
        <v>282</v>
      </c>
      <c r="B174" s="1">
        <v>1</v>
      </c>
      <c r="C174" s="1">
        <v>3.1400000000001</v>
      </c>
      <c r="D174" s="1">
        <v>1</v>
      </c>
      <c r="E174" s="1">
        <v>75949.19</v>
      </c>
      <c r="F174" s="1">
        <v>54</v>
      </c>
      <c r="G174" s="1">
        <v>20285.549999999996</v>
      </c>
    </row>
    <row r="175" spans="1:7" x14ac:dyDescent="0.2">
      <c r="A175" s="3" t="s">
        <v>416</v>
      </c>
      <c r="B175" s="1">
        <v>1</v>
      </c>
      <c r="C175" s="1">
        <v>0</v>
      </c>
      <c r="D175" s="1">
        <v>1</v>
      </c>
      <c r="E175" s="1">
        <v>75949.19</v>
      </c>
      <c r="F175" s="1">
        <v>54</v>
      </c>
      <c r="G175" s="1">
        <v>20285.549999999996</v>
      </c>
    </row>
    <row r="176" spans="1:7" x14ac:dyDescent="0.2">
      <c r="A176" s="3" t="s">
        <v>143</v>
      </c>
      <c r="B176" s="1">
        <v>1</v>
      </c>
      <c r="C176" s="1">
        <v>-0.96000000000003638</v>
      </c>
      <c r="D176" s="1">
        <v>1</v>
      </c>
      <c r="E176" s="1">
        <v>75949.19</v>
      </c>
      <c r="F176" s="1">
        <v>54</v>
      </c>
      <c r="G176" s="1">
        <v>20285.549999999996</v>
      </c>
    </row>
    <row r="177" spans="1:7" x14ac:dyDescent="0.2">
      <c r="A177" s="3" t="s">
        <v>340</v>
      </c>
      <c r="B177" s="1">
        <v>0</v>
      </c>
      <c r="C177" s="1">
        <v>0</v>
      </c>
      <c r="D177" s="1">
        <v>1</v>
      </c>
      <c r="E177" s="1">
        <v>75949.19</v>
      </c>
      <c r="F177" s="1">
        <v>54</v>
      </c>
      <c r="G177" s="1">
        <v>20285.549999999996</v>
      </c>
    </row>
    <row r="178" spans="1:7" x14ac:dyDescent="0.2">
      <c r="A178" s="3" t="s">
        <v>21</v>
      </c>
      <c r="B178" s="1">
        <v>-1</v>
      </c>
      <c r="C178" s="1">
        <v>-1.7100000000000364</v>
      </c>
      <c r="D178" s="1">
        <v>1</v>
      </c>
      <c r="E178" s="1">
        <v>75949.19</v>
      </c>
      <c r="F178" s="1">
        <v>54</v>
      </c>
      <c r="G178" s="1">
        <v>20285.549999999996</v>
      </c>
    </row>
    <row r="179" spans="1:7" x14ac:dyDescent="0.2">
      <c r="A179" s="3" t="s">
        <v>424</v>
      </c>
      <c r="B179" s="1">
        <v>0</v>
      </c>
      <c r="C179" s="1">
        <v>0</v>
      </c>
      <c r="D179" s="1">
        <v>1</v>
      </c>
      <c r="E179" s="1">
        <v>75949.19</v>
      </c>
      <c r="F179" s="1">
        <v>54</v>
      </c>
      <c r="G179" s="1">
        <v>20285.549999999996</v>
      </c>
    </row>
    <row r="180" spans="1:7" x14ac:dyDescent="0.2">
      <c r="A180" s="3" t="s">
        <v>290</v>
      </c>
      <c r="B180" s="1">
        <v>0</v>
      </c>
      <c r="C180" s="1">
        <v>0</v>
      </c>
      <c r="D180" s="1">
        <v>1</v>
      </c>
      <c r="E180" s="1">
        <v>75949.19</v>
      </c>
      <c r="F180" s="1">
        <v>54</v>
      </c>
      <c r="G180" s="1">
        <v>20285.549999999996</v>
      </c>
    </row>
    <row r="181" spans="1:7" x14ac:dyDescent="0.2">
      <c r="A181" s="3" t="s">
        <v>354</v>
      </c>
      <c r="B181" s="1">
        <v>1</v>
      </c>
      <c r="C181" s="1">
        <v>0</v>
      </c>
      <c r="D181" s="1">
        <v>1</v>
      </c>
      <c r="E181" s="1">
        <v>75949.19</v>
      </c>
      <c r="F181" s="1">
        <v>54</v>
      </c>
      <c r="G181" s="1">
        <v>20285.549999999996</v>
      </c>
    </row>
    <row r="182" spans="1:7" x14ac:dyDescent="0.2">
      <c r="A182" s="3" t="s">
        <v>366</v>
      </c>
      <c r="B182" s="1">
        <v>1</v>
      </c>
      <c r="C182" s="1">
        <v>5.2799999999999727</v>
      </c>
      <c r="D182" s="1">
        <v>1</v>
      </c>
      <c r="E182" s="1">
        <v>75949.19</v>
      </c>
      <c r="F182" s="1">
        <v>54</v>
      </c>
      <c r="G182" s="1">
        <v>20285.549999999996</v>
      </c>
    </row>
    <row r="183" spans="1:7" x14ac:dyDescent="0.2">
      <c r="A183" s="3" t="s">
        <v>266</v>
      </c>
      <c r="B183" s="1">
        <v>2</v>
      </c>
      <c r="C183" s="1">
        <v>2.4299999999998363</v>
      </c>
      <c r="D183" s="1">
        <v>1</v>
      </c>
      <c r="E183" s="1">
        <v>75949.19</v>
      </c>
      <c r="F183" s="1">
        <v>54</v>
      </c>
      <c r="G183" s="1">
        <v>20285.549999999996</v>
      </c>
    </row>
    <row r="184" spans="1:7" x14ac:dyDescent="0.2">
      <c r="A184" s="3" t="s">
        <v>288</v>
      </c>
      <c r="B184" s="1">
        <v>4</v>
      </c>
      <c r="C184" s="1">
        <v>5.0599999999999454</v>
      </c>
      <c r="D184" s="1">
        <v>1</v>
      </c>
      <c r="E184" s="1">
        <v>75949.19</v>
      </c>
      <c r="F184" s="1">
        <v>54</v>
      </c>
      <c r="G184" s="1">
        <v>20285.549999999996</v>
      </c>
    </row>
    <row r="185" spans="1:7" x14ac:dyDescent="0.2">
      <c r="A185" s="3" t="s">
        <v>59</v>
      </c>
      <c r="B185" s="1">
        <v>-5</v>
      </c>
      <c r="C185" s="1">
        <v>-10.110000000000127</v>
      </c>
      <c r="D185" s="1">
        <v>1</v>
      </c>
      <c r="E185" s="1">
        <v>75949.19</v>
      </c>
      <c r="F185" s="1">
        <v>54</v>
      </c>
      <c r="G185" s="1">
        <v>20285.549999999996</v>
      </c>
    </row>
    <row r="186" spans="1:7" x14ac:dyDescent="0.2">
      <c r="A186" s="3" t="s">
        <v>38</v>
      </c>
      <c r="B186" s="1">
        <v>1</v>
      </c>
      <c r="C186" s="1">
        <v>14.490000000000009</v>
      </c>
      <c r="D186" s="1">
        <v>1</v>
      </c>
      <c r="E186" s="1">
        <v>75949.19</v>
      </c>
      <c r="F186" s="1">
        <v>54</v>
      </c>
      <c r="G186" s="1">
        <v>20285.549999999996</v>
      </c>
    </row>
    <row r="187" spans="1:7" x14ac:dyDescent="0.2">
      <c r="A187" s="3" t="s">
        <v>189</v>
      </c>
      <c r="B187" s="1">
        <v>-1</v>
      </c>
      <c r="C187" s="1">
        <v>-9.1099999999999</v>
      </c>
      <c r="D187" s="1">
        <v>1</v>
      </c>
      <c r="E187" s="1">
        <v>75949.19</v>
      </c>
      <c r="F187" s="1">
        <v>54</v>
      </c>
      <c r="G187" s="1">
        <v>20285.549999999996</v>
      </c>
    </row>
    <row r="188" spans="1:7" x14ac:dyDescent="0.2">
      <c r="A188" s="3" t="s">
        <v>334</v>
      </c>
      <c r="B188" s="1">
        <v>0</v>
      </c>
      <c r="C188" s="1">
        <v>0</v>
      </c>
      <c r="D188" s="1">
        <v>1</v>
      </c>
      <c r="E188" s="1">
        <v>75949.19</v>
      </c>
      <c r="F188" s="1">
        <v>54</v>
      </c>
      <c r="G188" s="1">
        <v>20285.549999999996</v>
      </c>
    </row>
    <row r="189" spans="1:7" x14ac:dyDescent="0.2">
      <c r="A189" s="3" t="s">
        <v>226</v>
      </c>
      <c r="B189" s="1">
        <v>1</v>
      </c>
      <c r="C189" s="1">
        <v>6.6000000000001364</v>
      </c>
      <c r="D189" s="1">
        <v>1</v>
      </c>
      <c r="E189" s="1">
        <v>75949.19</v>
      </c>
      <c r="F189" s="1">
        <v>54</v>
      </c>
      <c r="G189" s="1">
        <v>20285.549999999996</v>
      </c>
    </row>
    <row r="190" spans="1:7" x14ac:dyDescent="0.2">
      <c r="A190" s="3" t="s">
        <v>270</v>
      </c>
      <c r="B190" s="1">
        <v>1</v>
      </c>
      <c r="C190" s="1">
        <v>-2.0199999999999818</v>
      </c>
      <c r="D190" s="1">
        <v>1</v>
      </c>
      <c r="E190" s="1">
        <v>75949.19</v>
      </c>
      <c r="F190" s="1">
        <v>54</v>
      </c>
      <c r="G190" s="1">
        <v>20285.549999999996</v>
      </c>
    </row>
    <row r="191" spans="1:7" x14ac:dyDescent="0.2">
      <c r="A191" s="3" t="s">
        <v>232</v>
      </c>
      <c r="B191" s="1">
        <v>0</v>
      </c>
      <c r="C191" s="1">
        <v>4.2300000000000182</v>
      </c>
      <c r="D191" s="1">
        <v>1</v>
      </c>
      <c r="E191" s="1">
        <v>75949.19</v>
      </c>
      <c r="F191" s="1">
        <v>54</v>
      </c>
      <c r="G191" s="1">
        <v>20285.549999999996</v>
      </c>
    </row>
    <row r="192" spans="1:7" x14ac:dyDescent="0.2">
      <c r="A192" s="3" t="s">
        <v>262</v>
      </c>
      <c r="B192" s="1">
        <v>-2</v>
      </c>
      <c r="C192" s="1">
        <v>0</v>
      </c>
      <c r="D192" s="1">
        <v>1</v>
      </c>
      <c r="E192" s="1">
        <v>75949.19</v>
      </c>
      <c r="F192" s="1">
        <v>54</v>
      </c>
      <c r="G192" s="1">
        <v>20285.549999999996</v>
      </c>
    </row>
    <row r="193" spans="1:7" x14ac:dyDescent="0.2">
      <c r="A193" s="3" t="s">
        <v>406</v>
      </c>
      <c r="B193" s="1">
        <v>1</v>
      </c>
      <c r="C193" s="1">
        <v>0</v>
      </c>
      <c r="D193" s="1">
        <v>1</v>
      </c>
      <c r="E193" s="1">
        <v>75949.19</v>
      </c>
      <c r="F193" s="1">
        <v>54</v>
      </c>
      <c r="G193" s="1">
        <v>20285.549999999996</v>
      </c>
    </row>
    <row r="194" spans="1:7" x14ac:dyDescent="0.2">
      <c r="A194" s="3" t="s">
        <v>264</v>
      </c>
      <c r="B194" s="1">
        <v>-1</v>
      </c>
      <c r="C194" s="1">
        <v>-1.2999999999999545</v>
      </c>
      <c r="D194" s="1">
        <v>1</v>
      </c>
      <c r="E194" s="1">
        <v>75949.19</v>
      </c>
      <c r="F194" s="1">
        <v>54</v>
      </c>
      <c r="G194" s="1">
        <v>20285.549999999996</v>
      </c>
    </row>
    <row r="195" spans="1:7" x14ac:dyDescent="0.2">
      <c r="A195" s="3" t="s">
        <v>404</v>
      </c>
      <c r="B195" s="1">
        <v>0</v>
      </c>
      <c r="C195" s="1">
        <v>0</v>
      </c>
      <c r="D195" s="1">
        <v>1</v>
      </c>
      <c r="E195" s="1">
        <v>75949.19</v>
      </c>
      <c r="F195" s="1">
        <v>54</v>
      </c>
      <c r="G195" s="1">
        <v>20285.549999999996</v>
      </c>
    </row>
    <row r="196" spans="1:7" x14ac:dyDescent="0.2">
      <c r="A196" s="3" t="s">
        <v>217</v>
      </c>
      <c r="B196" s="1">
        <v>-3</v>
      </c>
      <c r="C196" s="1">
        <v>-10.559999999999945</v>
      </c>
      <c r="D196" s="1">
        <v>1</v>
      </c>
      <c r="E196" s="1">
        <v>75949.19</v>
      </c>
      <c r="F196" s="1">
        <v>54</v>
      </c>
      <c r="G196" s="1">
        <v>20285.549999999996</v>
      </c>
    </row>
    <row r="197" spans="1:7" x14ac:dyDescent="0.2">
      <c r="A197" s="3" t="s">
        <v>69</v>
      </c>
      <c r="B197" s="1">
        <v>0</v>
      </c>
      <c r="C197" s="1">
        <v>-0.31999999999993634</v>
      </c>
      <c r="D197" s="1">
        <v>1</v>
      </c>
      <c r="E197" s="1">
        <v>75949.19</v>
      </c>
      <c r="F197" s="1">
        <v>54</v>
      </c>
      <c r="G197" s="1">
        <v>20285.549999999996</v>
      </c>
    </row>
    <row r="198" spans="1:7" x14ac:dyDescent="0.2">
      <c r="A198" s="3" t="s">
        <v>99</v>
      </c>
      <c r="B198" s="1">
        <v>-3</v>
      </c>
      <c r="C198" s="1">
        <v>-14.990000000000009</v>
      </c>
      <c r="D198" s="1">
        <v>1</v>
      </c>
      <c r="E198" s="1">
        <v>75949.19</v>
      </c>
      <c r="F198" s="1">
        <v>54</v>
      </c>
      <c r="G198" s="1">
        <v>20285.549999999996</v>
      </c>
    </row>
    <row r="199" spans="1:7" x14ac:dyDescent="0.2">
      <c r="A199" s="3" t="s">
        <v>280</v>
      </c>
      <c r="B199" s="1">
        <v>0</v>
      </c>
      <c r="C199" s="1">
        <v>0</v>
      </c>
      <c r="D199" s="1">
        <v>1</v>
      </c>
      <c r="E199" s="1">
        <v>75949.19</v>
      </c>
      <c r="F199" s="1">
        <v>54</v>
      </c>
      <c r="G199" s="1">
        <v>20285.549999999996</v>
      </c>
    </row>
    <row r="200" spans="1:7" x14ac:dyDescent="0.2">
      <c r="A200" s="3" t="s">
        <v>422</v>
      </c>
      <c r="B200" s="1">
        <v>0</v>
      </c>
      <c r="C200" s="1">
        <v>0</v>
      </c>
      <c r="D200" s="1">
        <v>1</v>
      </c>
      <c r="E200" s="1">
        <v>75949.19</v>
      </c>
      <c r="F200" s="1">
        <v>54</v>
      </c>
      <c r="G200" s="1">
        <v>20285.549999999996</v>
      </c>
    </row>
    <row r="201" spans="1:7" x14ac:dyDescent="0.2">
      <c r="A201" s="3" t="s">
        <v>187</v>
      </c>
      <c r="B201" s="1">
        <v>1</v>
      </c>
      <c r="C201" s="1">
        <v>-3.8699999999998909</v>
      </c>
      <c r="D201" s="1">
        <v>1</v>
      </c>
      <c r="E201" s="1">
        <v>75949.19</v>
      </c>
      <c r="F201" s="1">
        <v>54</v>
      </c>
      <c r="G201" s="1">
        <v>20285.549999999996</v>
      </c>
    </row>
    <row r="202" spans="1:7" x14ac:dyDescent="0.2">
      <c r="A202" s="3" t="s">
        <v>63</v>
      </c>
      <c r="B202" s="1">
        <v>0</v>
      </c>
      <c r="C202" s="1">
        <v>-5.7999999999999545</v>
      </c>
      <c r="D202" s="1">
        <v>1</v>
      </c>
      <c r="E202" s="1">
        <v>75949.19</v>
      </c>
      <c r="F202" s="1">
        <v>54</v>
      </c>
      <c r="G202" s="1">
        <v>20285.549999999996</v>
      </c>
    </row>
    <row r="203" spans="1:7" x14ac:dyDescent="0.2">
      <c r="A203" s="3" t="s">
        <v>149</v>
      </c>
      <c r="B203" s="1">
        <v>-1</v>
      </c>
      <c r="C203" s="1">
        <v>-8.5199999999999818</v>
      </c>
      <c r="D203" s="1">
        <v>1</v>
      </c>
      <c r="E203" s="1">
        <v>75949.19</v>
      </c>
      <c r="F203" s="1">
        <v>54</v>
      </c>
      <c r="G203" s="1">
        <v>20285.549999999996</v>
      </c>
    </row>
    <row r="204" spans="1:7" x14ac:dyDescent="0.2">
      <c r="A204" s="3" t="s">
        <v>36</v>
      </c>
      <c r="B204" s="1">
        <v>-1</v>
      </c>
      <c r="C204" s="1">
        <v>-2.2400000000000091</v>
      </c>
      <c r="D204" s="1">
        <v>1</v>
      </c>
      <c r="E204" s="1">
        <v>75949.19</v>
      </c>
      <c r="F204" s="1">
        <v>54</v>
      </c>
      <c r="G204" s="1">
        <v>20285.549999999996</v>
      </c>
    </row>
    <row r="205" spans="1:7" x14ac:dyDescent="0.2">
      <c r="A205" s="3" t="s">
        <v>426</v>
      </c>
      <c r="B205" s="1">
        <v>0</v>
      </c>
      <c r="C205" s="1">
        <v>0</v>
      </c>
      <c r="D205" s="1">
        <v>1</v>
      </c>
      <c r="E205" s="1">
        <v>75949.19</v>
      </c>
      <c r="F205" s="1">
        <v>54</v>
      </c>
      <c r="G205" s="1">
        <v>20285.549999999996</v>
      </c>
    </row>
    <row r="206" spans="1:7" x14ac:dyDescent="0.2">
      <c r="A206" s="3" t="s">
        <v>40</v>
      </c>
      <c r="B206" s="1">
        <v>-2</v>
      </c>
      <c r="C206" s="1">
        <v>-7.5299999999999727</v>
      </c>
      <c r="D206" s="1">
        <v>1</v>
      </c>
      <c r="E206" s="1">
        <v>75949.19</v>
      </c>
      <c r="F206" s="1">
        <v>54</v>
      </c>
      <c r="G206" s="1">
        <v>20285.549999999996</v>
      </c>
    </row>
    <row r="207" spans="1:7" x14ac:dyDescent="0.2">
      <c r="A207" s="3" t="s">
        <v>163</v>
      </c>
      <c r="B207" s="1">
        <v>0</v>
      </c>
      <c r="C207" s="1">
        <v>3.3499999999999091</v>
      </c>
      <c r="D207" s="1">
        <v>1</v>
      </c>
      <c r="E207" s="1">
        <v>75949.19</v>
      </c>
      <c r="F207" s="1">
        <v>54</v>
      </c>
      <c r="G207" s="1">
        <v>20285.549999999996</v>
      </c>
    </row>
    <row r="208" spans="1:7" x14ac:dyDescent="0.2">
      <c r="A208" s="3" t="s">
        <v>338</v>
      </c>
      <c r="B208" s="1">
        <v>0</v>
      </c>
      <c r="C208" s="1">
        <v>-4.92999999999995</v>
      </c>
      <c r="D208" s="1">
        <v>1</v>
      </c>
      <c r="E208" s="1">
        <v>75949.19</v>
      </c>
      <c r="F208" s="1">
        <v>54</v>
      </c>
      <c r="G208" s="1">
        <v>20285.549999999996</v>
      </c>
    </row>
    <row r="209" spans="1:7" x14ac:dyDescent="0.2">
      <c r="A209" s="3" t="s">
        <v>123</v>
      </c>
      <c r="B209" s="1">
        <v>-1</v>
      </c>
      <c r="C209" s="1">
        <v>-0.8000000000001819</v>
      </c>
      <c r="D209" s="1">
        <v>1</v>
      </c>
      <c r="E209" s="1">
        <v>75949.19</v>
      </c>
      <c r="F209" s="1">
        <v>54</v>
      </c>
      <c r="G209" s="1">
        <v>20285.549999999996</v>
      </c>
    </row>
    <row r="210" spans="1:7" x14ac:dyDescent="0.2">
      <c r="A210" s="3" t="s">
        <v>201</v>
      </c>
      <c r="B210" s="1">
        <v>1</v>
      </c>
      <c r="C210" s="1">
        <v>7.8100000000001728</v>
      </c>
      <c r="D210" s="1">
        <v>1</v>
      </c>
      <c r="E210" s="1">
        <v>75949.19</v>
      </c>
      <c r="F210" s="1">
        <v>54</v>
      </c>
      <c r="G210" s="1">
        <v>20285.549999999996</v>
      </c>
    </row>
    <row r="211" spans="1:7" x14ac:dyDescent="0.2">
      <c r="A211" s="3" t="s">
        <v>46</v>
      </c>
      <c r="B211" s="1">
        <v>0</v>
      </c>
      <c r="C211" s="1">
        <v>-12.310000000000173</v>
      </c>
      <c r="D211" s="1">
        <v>1</v>
      </c>
      <c r="E211" s="1">
        <v>75949.19</v>
      </c>
      <c r="F211" s="1">
        <v>54</v>
      </c>
      <c r="G211" s="1">
        <v>20285.549999999996</v>
      </c>
    </row>
    <row r="212" spans="1:7" x14ac:dyDescent="0.2">
      <c r="A212" s="3" t="s">
        <v>320</v>
      </c>
      <c r="B212" s="1">
        <v>-2</v>
      </c>
      <c r="C212" s="1">
        <v>0</v>
      </c>
      <c r="D212" s="1">
        <v>1</v>
      </c>
      <c r="E212" s="1">
        <v>75949.19</v>
      </c>
      <c r="F212" s="1">
        <v>54</v>
      </c>
      <c r="G212" s="1">
        <v>20285.549999999996</v>
      </c>
    </row>
    <row r="213" spans="1:7" x14ac:dyDescent="0.2">
      <c r="A213" s="3" t="s">
        <v>185</v>
      </c>
      <c r="B213" s="1">
        <v>-1</v>
      </c>
      <c r="C213" s="1">
        <v>-3.3899999999998727</v>
      </c>
      <c r="D213" s="1">
        <v>1</v>
      </c>
      <c r="E213" s="1">
        <v>75949.19</v>
      </c>
      <c r="F213" s="1">
        <v>54</v>
      </c>
      <c r="G213" s="1">
        <v>20285.549999999996</v>
      </c>
    </row>
    <row r="214" spans="1:7" x14ac:dyDescent="0.2">
      <c r="A214" s="3" t="s">
        <v>260</v>
      </c>
      <c r="B214" s="1">
        <v>-2</v>
      </c>
      <c r="C214" s="1">
        <v>0</v>
      </c>
      <c r="D214" s="1">
        <v>1</v>
      </c>
      <c r="E214" s="1">
        <v>75949.19</v>
      </c>
      <c r="F214" s="1">
        <v>54</v>
      </c>
      <c r="G214" s="1">
        <v>20285.549999999996</v>
      </c>
    </row>
    <row r="215" spans="1:7" x14ac:dyDescent="0.2">
      <c r="A215" s="3" t="s">
        <v>441</v>
      </c>
      <c r="B215" s="1">
        <v>0</v>
      </c>
      <c r="C215" s="1">
        <v>8.8099999999998317</v>
      </c>
      <c r="D215" s="1">
        <v>211</v>
      </c>
      <c r="E215" s="1">
        <v>16025279.089999968</v>
      </c>
      <c r="F215" s="1">
        <v>11394</v>
      </c>
      <c r="G215" s="1">
        <v>4280251.049999984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C3F8-5633-7040-A315-FF2C342EAC9D}">
  <dimension ref="A1:AC217"/>
  <sheetViews>
    <sheetView workbookViewId="0">
      <selection activeCell="A3" sqref="A3"/>
    </sheetView>
  </sheetViews>
  <sheetFormatPr baseColWidth="10" defaultRowHeight="16" x14ac:dyDescent="0.2"/>
  <cols>
    <col min="1" max="1" width="25.6640625" bestFit="1" customWidth="1"/>
    <col min="2" max="2" width="16" bestFit="1" customWidth="1"/>
    <col min="3" max="3" width="20.33203125" bestFit="1" customWidth="1"/>
    <col min="4" max="4" width="10.83203125" bestFit="1" customWidth="1"/>
    <col min="5" max="5" width="18.83203125" bestFit="1" customWidth="1"/>
    <col min="6" max="6" width="12.33203125" bestFit="1" customWidth="1"/>
    <col min="7" max="7" width="20.33203125" bestFit="1" customWidth="1"/>
    <col min="8" max="8" width="10.83203125" bestFit="1" customWidth="1"/>
    <col min="9" max="9" width="18.83203125" bestFit="1" customWidth="1"/>
    <col min="10" max="10" width="12.33203125" bestFit="1" customWidth="1"/>
    <col min="11" max="11" width="20.33203125" bestFit="1" customWidth="1"/>
    <col min="12" max="12" width="10.83203125" bestFit="1" customWidth="1"/>
    <col min="13" max="13" width="18.83203125" bestFit="1" customWidth="1"/>
    <col min="14" max="14" width="12.33203125" bestFit="1" customWidth="1"/>
    <col min="15" max="15" width="20.33203125" bestFit="1" customWidth="1"/>
    <col min="17" max="17" width="18.83203125" bestFit="1" customWidth="1"/>
    <col min="18" max="18" width="12.33203125" bestFit="1" customWidth="1"/>
    <col min="19" max="19" width="20.33203125" bestFit="1" customWidth="1"/>
    <col min="20" max="20" width="10.83203125" bestFit="1" customWidth="1"/>
    <col min="21" max="21" width="18.83203125" bestFit="1" customWidth="1"/>
    <col min="22" max="22" width="12.33203125" bestFit="1" customWidth="1"/>
    <col min="23" max="23" width="20.33203125" bestFit="1" customWidth="1"/>
    <col min="25" max="25" width="18.83203125" bestFit="1" customWidth="1"/>
    <col min="26" max="26" width="16.83203125" bestFit="1" customWidth="1"/>
    <col min="27" max="27" width="24.83203125" bestFit="1" customWidth="1"/>
    <col min="28" max="28" width="15.1640625" bestFit="1" customWidth="1"/>
    <col min="29" max="29" width="23.33203125" bestFit="1" customWidth="1"/>
  </cols>
  <sheetData>
    <row r="1" spans="1:29" x14ac:dyDescent="0.2">
      <c r="A1" s="2" t="s">
        <v>1</v>
      </c>
      <c r="B1" t="s">
        <v>445</v>
      </c>
    </row>
    <row r="3" spans="1:29" x14ac:dyDescent="0.2">
      <c r="B3" s="2" t="s">
        <v>442</v>
      </c>
    </row>
    <row r="4" spans="1:29" x14ac:dyDescent="0.2">
      <c r="B4" t="s">
        <v>50</v>
      </c>
      <c r="F4" t="s">
        <v>45</v>
      </c>
      <c r="J4" t="s">
        <v>35</v>
      </c>
      <c r="N4" t="s">
        <v>9</v>
      </c>
      <c r="R4" t="s">
        <v>221</v>
      </c>
      <c r="V4" t="s">
        <v>12</v>
      </c>
      <c r="Z4" t="s">
        <v>447</v>
      </c>
      <c r="AA4" t="s">
        <v>448</v>
      </c>
      <c r="AB4" t="s">
        <v>456</v>
      </c>
      <c r="AC4" t="s">
        <v>457</v>
      </c>
    </row>
    <row r="5" spans="1:29" x14ac:dyDescent="0.2">
      <c r="A5" s="2" t="s">
        <v>440</v>
      </c>
      <c r="B5" t="s">
        <v>443</v>
      </c>
      <c r="C5" t="s">
        <v>446</v>
      </c>
      <c r="D5" t="s">
        <v>444</v>
      </c>
      <c r="E5" t="s">
        <v>449</v>
      </c>
      <c r="F5" t="s">
        <v>443</v>
      </c>
      <c r="G5" t="s">
        <v>446</v>
      </c>
      <c r="H5" t="s">
        <v>444</v>
      </c>
      <c r="I5" t="s">
        <v>449</v>
      </c>
      <c r="J5" t="s">
        <v>443</v>
      </c>
      <c r="K5" t="s">
        <v>446</v>
      </c>
      <c r="L5" t="s">
        <v>444</v>
      </c>
      <c r="M5" t="s">
        <v>449</v>
      </c>
      <c r="N5" t="s">
        <v>443</v>
      </c>
      <c r="O5" t="s">
        <v>446</v>
      </c>
      <c r="P5" t="s">
        <v>444</v>
      </c>
      <c r="Q5" t="s">
        <v>449</v>
      </c>
      <c r="R5" t="s">
        <v>443</v>
      </c>
      <c r="S5" t="s">
        <v>446</v>
      </c>
      <c r="T5" t="s">
        <v>444</v>
      </c>
      <c r="U5" t="s">
        <v>449</v>
      </c>
      <c r="V5" t="s">
        <v>443</v>
      </c>
      <c r="W5" t="s">
        <v>446</v>
      </c>
      <c r="X5" t="s">
        <v>444</v>
      </c>
      <c r="Y5" t="s">
        <v>449</v>
      </c>
    </row>
    <row r="6" spans="1:29" x14ac:dyDescent="0.2">
      <c r="A6" s="3" t="s">
        <v>322</v>
      </c>
      <c r="B6" s="1">
        <v>1023.04</v>
      </c>
      <c r="C6" s="1">
        <v>1023.04</v>
      </c>
      <c r="D6" s="1">
        <v>156</v>
      </c>
      <c r="E6" s="1">
        <v>154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>
        <v>1023.04</v>
      </c>
      <c r="AA6" s="1">
        <v>1023.04</v>
      </c>
      <c r="AB6" s="1">
        <v>156</v>
      </c>
      <c r="AC6" s="1">
        <v>154</v>
      </c>
    </row>
    <row r="7" spans="1:29" x14ac:dyDescent="0.2">
      <c r="A7" s="3" t="s">
        <v>141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>
        <v>1354.11</v>
      </c>
      <c r="W7" s="1">
        <v>1361.81</v>
      </c>
      <c r="X7" s="1">
        <v>66</v>
      </c>
      <c r="Y7" s="1">
        <v>66</v>
      </c>
      <c r="Z7" s="1">
        <v>1354.11</v>
      </c>
      <c r="AA7" s="1">
        <v>1361.81</v>
      </c>
      <c r="AB7" s="1">
        <v>66</v>
      </c>
      <c r="AC7" s="1">
        <v>66</v>
      </c>
    </row>
    <row r="8" spans="1:29" x14ac:dyDescent="0.2">
      <c r="A8" s="3" t="s">
        <v>83</v>
      </c>
      <c r="B8" s="1"/>
      <c r="C8" s="1"/>
      <c r="D8" s="1"/>
      <c r="E8" s="1"/>
      <c r="F8" s="1">
        <v>1489.1</v>
      </c>
      <c r="G8" s="1">
        <v>1480.59</v>
      </c>
      <c r="H8" s="1">
        <v>37</v>
      </c>
      <c r="I8" s="1">
        <v>41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>
        <v>1489.1</v>
      </c>
      <c r="AA8" s="1">
        <v>1480.59</v>
      </c>
      <c r="AB8" s="1">
        <v>37</v>
      </c>
      <c r="AC8" s="1">
        <v>41</v>
      </c>
    </row>
    <row r="9" spans="1:29" x14ac:dyDescent="0.2">
      <c r="A9" s="3" t="s">
        <v>386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>
        <v>900.27</v>
      </c>
      <c r="S9" s="1">
        <v>900.27</v>
      </c>
      <c r="T9" s="1">
        <v>188</v>
      </c>
      <c r="U9" s="1">
        <v>188</v>
      </c>
      <c r="V9" s="1"/>
      <c r="W9" s="1"/>
      <c r="X9" s="1"/>
      <c r="Y9" s="1"/>
      <c r="Z9" s="1">
        <v>900.27</v>
      </c>
      <c r="AA9" s="1">
        <v>900.27</v>
      </c>
      <c r="AB9" s="1">
        <v>188</v>
      </c>
      <c r="AC9" s="1">
        <v>188</v>
      </c>
    </row>
    <row r="10" spans="1:29" x14ac:dyDescent="0.2">
      <c r="A10" s="3" t="s">
        <v>312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>
        <v>1035.2</v>
      </c>
      <c r="W10" s="1">
        <v>1028.7</v>
      </c>
      <c r="X10" s="1">
        <v>151</v>
      </c>
      <c r="Y10" s="1">
        <v>152</v>
      </c>
      <c r="Z10" s="1">
        <v>1035.2</v>
      </c>
      <c r="AA10" s="1">
        <v>1028.7</v>
      </c>
      <c r="AB10" s="1">
        <v>151</v>
      </c>
      <c r="AC10" s="1">
        <v>152</v>
      </c>
    </row>
    <row r="11" spans="1:29" x14ac:dyDescent="0.2">
      <c r="A11" s="3" t="s">
        <v>248</v>
      </c>
      <c r="B11" s="1"/>
      <c r="C11" s="1"/>
      <c r="D11" s="1"/>
      <c r="E11" s="1"/>
      <c r="F11" s="1">
        <v>1155.9000000000001</v>
      </c>
      <c r="G11" s="1">
        <v>1149.08</v>
      </c>
      <c r="H11" s="1">
        <v>119</v>
      </c>
      <c r="I11" s="1">
        <v>120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>
        <v>1155.9000000000001</v>
      </c>
      <c r="AA11" s="1">
        <v>1149.08</v>
      </c>
      <c r="AB11" s="1">
        <v>119</v>
      </c>
      <c r="AC11" s="1">
        <v>120</v>
      </c>
    </row>
    <row r="12" spans="1:29" x14ac:dyDescent="0.2">
      <c r="A12" s="3" t="s">
        <v>430</v>
      </c>
      <c r="B12" s="1"/>
      <c r="C12" s="1"/>
      <c r="D12" s="1"/>
      <c r="E12" s="1"/>
      <c r="F12" s="1"/>
      <c r="G12" s="1"/>
      <c r="H12" s="1"/>
      <c r="I12" s="1"/>
      <c r="J12" s="1">
        <v>790.74</v>
      </c>
      <c r="K12" s="1">
        <v>790.74</v>
      </c>
      <c r="L12" s="1">
        <v>210</v>
      </c>
      <c r="M12" s="1">
        <v>210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>
        <v>790.74</v>
      </c>
      <c r="AA12" s="1">
        <v>790.74</v>
      </c>
      <c r="AB12" s="1">
        <v>210</v>
      </c>
      <c r="AC12" s="1">
        <v>210</v>
      </c>
    </row>
    <row r="13" spans="1:29" x14ac:dyDescent="0.2">
      <c r="A13" s="3" t="s">
        <v>272</v>
      </c>
      <c r="B13" s="1"/>
      <c r="C13" s="1"/>
      <c r="D13" s="1"/>
      <c r="E13" s="1"/>
      <c r="F13" s="1"/>
      <c r="G13" s="1"/>
      <c r="H13" s="1"/>
      <c r="I13" s="1"/>
      <c r="J13" s="1">
        <v>1117.01</v>
      </c>
      <c r="K13" s="1">
        <v>1117.01</v>
      </c>
      <c r="L13" s="1">
        <v>131</v>
      </c>
      <c r="M13" s="1">
        <v>132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>
        <v>1117.01</v>
      </c>
      <c r="AA13" s="1">
        <v>1117.01</v>
      </c>
      <c r="AB13" s="1">
        <v>131</v>
      </c>
      <c r="AC13" s="1">
        <v>132</v>
      </c>
    </row>
    <row r="14" spans="1:29" x14ac:dyDescent="0.2">
      <c r="A14" s="3" t="s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v>1773.88</v>
      </c>
      <c r="O14" s="1">
        <v>1770.65</v>
      </c>
      <c r="P14" s="1">
        <v>3</v>
      </c>
      <c r="Q14" s="1">
        <v>3</v>
      </c>
      <c r="R14" s="1"/>
      <c r="S14" s="1"/>
      <c r="T14" s="1"/>
      <c r="U14" s="1"/>
      <c r="V14" s="1"/>
      <c r="W14" s="1"/>
      <c r="X14" s="1"/>
      <c r="Y14" s="1"/>
      <c r="Z14" s="1">
        <v>1773.88</v>
      </c>
      <c r="AA14" s="1">
        <v>1770.65</v>
      </c>
      <c r="AB14" s="1">
        <v>3</v>
      </c>
      <c r="AC14" s="1">
        <v>3</v>
      </c>
    </row>
    <row r="15" spans="1:29" x14ac:dyDescent="0.2">
      <c r="A15" s="3" t="s">
        <v>195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>
        <v>1233.93</v>
      </c>
      <c r="W15" s="1">
        <v>1242.42</v>
      </c>
      <c r="X15" s="1">
        <v>93</v>
      </c>
      <c r="Y15" s="1">
        <v>92</v>
      </c>
      <c r="Z15" s="1">
        <v>1233.93</v>
      </c>
      <c r="AA15" s="1">
        <v>1242.42</v>
      </c>
      <c r="AB15" s="1">
        <v>93</v>
      </c>
      <c r="AC15" s="1">
        <v>92</v>
      </c>
    </row>
    <row r="16" spans="1:29" x14ac:dyDescent="0.2">
      <c r="A16" s="3" t="s">
        <v>412</v>
      </c>
      <c r="B16" s="1"/>
      <c r="C16" s="1"/>
      <c r="D16" s="1"/>
      <c r="E16" s="1"/>
      <c r="F16" s="1"/>
      <c r="G16" s="1"/>
      <c r="H16" s="1"/>
      <c r="I16" s="1"/>
      <c r="J16" s="1">
        <v>855.37</v>
      </c>
      <c r="K16" s="1">
        <v>855.37</v>
      </c>
      <c r="L16" s="1">
        <v>201</v>
      </c>
      <c r="M16" s="1">
        <v>202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>
        <v>855.37</v>
      </c>
      <c r="AA16" s="1">
        <v>855.37</v>
      </c>
      <c r="AB16" s="1">
        <v>201</v>
      </c>
      <c r="AC16" s="1">
        <v>202</v>
      </c>
    </row>
    <row r="17" spans="1:29" x14ac:dyDescent="0.2">
      <c r="A17" s="3" t="s">
        <v>85</v>
      </c>
      <c r="B17" s="1">
        <v>1488.72</v>
      </c>
      <c r="C17" s="1">
        <v>1483.73</v>
      </c>
      <c r="D17" s="1">
        <v>38</v>
      </c>
      <c r="E17" s="1">
        <v>39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>
        <v>1488.72</v>
      </c>
      <c r="AA17" s="1">
        <v>1483.73</v>
      </c>
      <c r="AB17" s="1">
        <v>38</v>
      </c>
      <c r="AC17" s="1">
        <v>39</v>
      </c>
    </row>
    <row r="18" spans="1:29" x14ac:dyDescent="0.2">
      <c r="A18" s="3" t="s">
        <v>77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>
        <v>1492.95</v>
      </c>
      <c r="W18" s="1">
        <v>1502.47</v>
      </c>
      <c r="X18" s="1">
        <v>34</v>
      </c>
      <c r="Y18" s="1">
        <v>33</v>
      </c>
      <c r="Z18" s="1">
        <v>1492.95</v>
      </c>
      <c r="AA18" s="1">
        <v>1502.47</v>
      </c>
      <c r="AB18" s="1">
        <v>34</v>
      </c>
      <c r="AC18" s="1">
        <v>33</v>
      </c>
    </row>
    <row r="19" spans="1:29" x14ac:dyDescent="0.2">
      <c r="A19" s="3" t="s">
        <v>256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>
        <v>1146.72</v>
      </c>
      <c r="W19" s="1">
        <v>1127.17</v>
      </c>
      <c r="X19" s="1">
        <v>123</v>
      </c>
      <c r="Y19" s="1">
        <v>128</v>
      </c>
      <c r="Z19" s="1">
        <v>1146.72</v>
      </c>
      <c r="AA19" s="1">
        <v>1127.17</v>
      </c>
      <c r="AB19" s="1">
        <v>123</v>
      </c>
      <c r="AC19" s="1">
        <v>128</v>
      </c>
    </row>
    <row r="20" spans="1:29" x14ac:dyDescent="0.2">
      <c r="A20" s="3" t="s">
        <v>414</v>
      </c>
      <c r="B20" s="1"/>
      <c r="C20" s="1"/>
      <c r="D20" s="1"/>
      <c r="E20" s="1"/>
      <c r="F20" s="1"/>
      <c r="G20" s="1"/>
      <c r="H20" s="1"/>
      <c r="I20" s="1"/>
      <c r="J20" s="1">
        <v>854.8</v>
      </c>
      <c r="K20" s="1">
        <v>854.8</v>
      </c>
      <c r="L20" s="1">
        <v>202</v>
      </c>
      <c r="M20" s="1">
        <v>203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>
        <v>854.8</v>
      </c>
      <c r="AA20" s="1">
        <v>854.8</v>
      </c>
      <c r="AB20" s="1">
        <v>202</v>
      </c>
      <c r="AC20" s="1">
        <v>203</v>
      </c>
    </row>
    <row r="21" spans="1:29" x14ac:dyDescent="0.2">
      <c r="A21" s="3" t="s">
        <v>179</v>
      </c>
      <c r="B21" s="1">
        <v>1280.6400000000001</v>
      </c>
      <c r="C21" s="1">
        <v>1289.25</v>
      </c>
      <c r="D21" s="1">
        <v>85</v>
      </c>
      <c r="E21" s="1">
        <v>85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>
        <v>1280.6400000000001</v>
      </c>
      <c r="AA21" s="1">
        <v>1289.25</v>
      </c>
      <c r="AB21" s="1">
        <v>85</v>
      </c>
      <c r="AC21" s="1">
        <v>85</v>
      </c>
    </row>
    <row r="22" spans="1:29" x14ac:dyDescent="0.2">
      <c r="A22" s="3" t="s">
        <v>394</v>
      </c>
      <c r="B22" s="1">
        <v>884.45</v>
      </c>
      <c r="C22" s="1">
        <v>883.18</v>
      </c>
      <c r="D22" s="1">
        <v>192</v>
      </c>
      <c r="E22" s="1">
        <v>192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>
        <v>884.45</v>
      </c>
      <c r="AA22" s="1">
        <v>883.18</v>
      </c>
      <c r="AB22" s="1">
        <v>192</v>
      </c>
      <c r="AC22" s="1">
        <v>192</v>
      </c>
    </row>
    <row r="23" spans="1:29" x14ac:dyDescent="0.2">
      <c r="A23" s="3" t="s">
        <v>342</v>
      </c>
      <c r="B23" s="1"/>
      <c r="C23" s="1"/>
      <c r="D23" s="1"/>
      <c r="E23" s="1"/>
      <c r="F23" s="1"/>
      <c r="G23" s="1"/>
      <c r="H23" s="1"/>
      <c r="I23" s="1"/>
      <c r="J23" s="1">
        <v>982.27</v>
      </c>
      <c r="K23" s="1">
        <v>982.27</v>
      </c>
      <c r="L23" s="1">
        <v>166</v>
      </c>
      <c r="M23" s="1">
        <v>166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>
        <v>982.27</v>
      </c>
      <c r="AA23" s="1">
        <v>982.27</v>
      </c>
      <c r="AB23" s="1">
        <v>166</v>
      </c>
      <c r="AC23" s="1">
        <v>166</v>
      </c>
    </row>
    <row r="24" spans="1:29" x14ac:dyDescent="0.2">
      <c r="A24" s="3" t="s">
        <v>203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>
        <v>1221.06</v>
      </c>
      <c r="W24" s="1">
        <v>1226.55</v>
      </c>
      <c r="X24" s="1">
        <v>97</v>
      </c>
      <c r="Y24" s="1">
        <v>96</v>
      </c>
      <c r="Z24" s="1">
        <v>1221.06</v>
      </c>
      <c r="AA24" s="1">
        <v>1226.55</v>
      </c>
      <c r="AB24" s="1">
        <v>97</v>
      </c>
      <c r="AC24" s="1">
        <v>96</v>
      </c>
    </row>
    <row r="25" spans="1:29" x14ac:dyDescent="0.2">
      <c r="A25" s="3" t="s">
        <v>10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>
        <v>1816.71</v>
      </c>
      <c r="W25" s="1">
        <v>1821.92</v>
      </c>
      <c r="X25" s="1">
        <v>2</v>
      </c>
      <c r="Y25" s="1">
        <v>2</v>
      </c>
      <c r="Z25" s="1">
        <v>1816.71</v>
      </c>
      <c r="AA25" s="1">
        <v>1821.92</v>
      </c>
      <c r="AB25" s="1">
        <v>2</v>
      </c>
      <c r="AC25" s="1">
        <v>2</v>
      </c>
    </row>
    <row r="26" spans="1:29" x14ac:dyDescent="0.2">
      <c r="A26" s="3" t="s">
        <v>362</v>
      </c>
      <c r="B26" s="1"/>
      <c r="C26" s="1"/>
      <c r="D26" s="1"/>
      <c r="E26" s="1"/>
      <c r="F26" s="1"/>
      <c r="G26" s="1"/>
      <c r="H26" s="1"/>
      <c r="I26" s="1"/>
      <c r="J26" s="1">
        <v>950.88</v>
      </c>
      <c r="K26" s="1">
        <v>950.88</v>
      </c>
      <c r="L26" s="1">
        <v>176</v>
      </c>
      <c r="M26" s="1">
        <v>175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>
        <v>950.88</v>
      </c>
      <c r="AA26" s="1">
        <v>950.88</v>
      </c>
      <c r="AB26" s="1">
        <v>176</v>
      </c>
      <c r="AC26" s="1">
        <v>175</v>
      </c>
    </row>
    <row r="27" spans="1:29" x14ac:dyDescent="0.2">
      <c r="A27" s="3" t="s">
        <v>191</v>
      </c>
      <c r="B27" s="1"/>
      <c r="C27" s="1"/>
      <c r="D27" s="1"/>
      <c r="E27" s="1"/>
      <c r="F27" s="1">
        <v>1247.47</v>
      </c>
      <c r="G27" s="1">
        <v>1258.71</v>
      </c>
      <c r="H27" s="1">
        <v>91</v>
      </c>
      <c r="I27" s="1">
        <v>91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>
        <v>1247.47</v>
      </c>
      <c r="AA27" s="1">
        <v>1258.71</v>
      </c>
      <c r="AB27" s="1">
        <v>91</v>
      </c>
      <c r="AC27" s="1">
        <v>91</v>
      </c>
    </row>
    <row r="28" spans="1:29" x14ac:dyDescent="0.2">
      <c r="A28" s="3" t="s">
        <v>348</v>
      </c>
      <c r="B28" s="1"/>
      <c r="C28" s="1"/>
      <c r="D28" s="1"/>
      <c r="E28" s="1"/>
      <c r="F28" s="1"/>
      <c r="G28" s="1"/>
      <c r="H28" s="1"/>
      <c r="I28" s="1"/>
      <c r="J28" s="1">
        <v>977.47</v>
      </c>
      <c r="K28" s="1">
        <v>977.47</v>
      </c>
      <c r="L28" s="1">
        <v>169</v>
      </c>
      <c r="M28" s="1">
        <v>168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>
        <v>977.47</v>
      </c>
      <c r="AA28" s="1">
        <v>977.47</v>
      </c>
      <c r="AB28" s="1">
        <v>169</v>
      </c>
      <c r="AC28" s="1">
        <v>168</v>
      </c>
    </row>
    <row r="29" spans="1:29" x14ac:dyDescent="0.2">
      <c r="A29" s="3" t="s">
        <v>380</v>
      </c>
      <c r="B29" s="1">
        <v>910.96</v>
      </c>
      <c r="C29" s="1">
        <v>910.96</v>
      </c>
      <c r="D29" s="1">
        <v>185</v>
      </c>
      <c r="E29" s="1">
        <v>186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>
        <v>910.96</v>
      </c>
      <c r="AA29" s="1">
        <v>910.96</v>
      </c>
      <c r="AB29" s="1">
        <v>185</v>
      </c>
      <c r="AC29" s="1">
        <v>186</v>
      </c>
    </row>
    <row r="30" spans="1:29" x14ac:dyDescent="0.2">
      <c r="A30" s="3" t="s">
        <v>173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>
        <v>1296.28</v>
      </c>
      <c r="O30" s="1">
        <v>1298.81</v>
      </c>
      <c r="P30" s="1">
        <v>82</v>
      </c>
      <c r="Q30" s="1">
        <v>81</v>
      </c>
      <c r="R30" s="1"/>
      <c r="S30" s="1"/>
      <c r="T30" s="1"/>
      <c r="U30" s="1"/>
      <c r="V30" s="1"/>
      <c r="W30" s="1"/>
      <c r="X30" s="1"/>
      <c r="Y30" s="1"/>
      <c r="Z30" s="1">
        <v>1296.28</v>
      </c>
      <c r="AA30" s="1">
        <v>1298.81</v>
      </c>
      <c r="AB30" s="1">
        <v>82</v>
      </c>
      <c r="AC30" s="1">
        <v>81</v>
      </c>
    </row>
    <row r="31" spans="1:29" x14ac:dyDescent="0.2">
      <c r="A31" s="3" t="s">
        <v>125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>
        <v>1403.51</v>
      </c>
      <c r="W31" s="1">
        <v>1403.98</v>
      </c>
      <c r="X31" s="1">
        <v>58</v>
      </c>
      <c r="Y31" s="1">
        <v>57</v>
      </c>
      <c r="Z31" s="1">
        <v>1403.51</v>
      </c>
      <c r="AA31" s="1">
        <v>1403.98</v>
      </c>
      <c r="AB31" s="1">
        <v>58</v>
      </c>
      <c r="AC31" s="1">
        <v>57</v>
      </c>
    </row>
    <row r="32" spans="1:29" x14ac:dyDescent="0.2">
      <c r="A32" s="3" t="s">
        <v>306</v>
      </c>
      <c r="B32" s="1"/>
      <c r="C32" s="1"/>
      <c r="D32" s="1"/>
      <c r="E32" s="1"/>
      <c r="F32" s="1">
        <v>1056.46</v>
      </c>
      <c r="G32" s="1">
        <v>1060.17</v>
      </c>
      <c r="H32" s="1">
        <v>148</v>
      </c>
      <c r="I32" s="1">
        <v>146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>
        <v>1056.46</v>
      </c>
      <c r="AA32" s="1">
        <v>1060.17</v>
      </c>
      <c r="AB32" s="1">
        <v>148</v>
      </c>
      <c r="AC32" s="1">
        <v>146</v>
      </c>
    </row>
    <row r="33" spans="1:29" x14ac:dyDescent="0.2">
      <c r="A33" s="3" t="s">
        <v>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>
        <v>1841.3</v>
      </c>
      <c r="O33" s="1">
        <v>1837.56</v>
      </c>
      <c r="P33" s="1">
        <v>1</v>
      </c>
      <c r="Q33" s="1">
        <v>1</v>
      </c>
      <c r="R33" s="1"/>
      <c r="S33" s="1"/>
      <c r="T33" s="1"/>
      <c r="U33" s="1"/>
      <c r="V33" s="1"/>
      <c r="W33" s="1"/>
      <c r="X33" s="1"/>
      <c r="Y33" s="1"/>
      <c r="Z33" s="1">
        <v>1841.3</v>
      </c>
      <c r="AA33" s="1">
        <v>1837.56</v>
      </c>
      <c r="AB33" s="1">
        <v>1</v>
      </c>
      <c r="AC33" s="1">
        <v>1</v>
      </c>
    </row>
    <row r="34" spans="1:29" x14ac:dyDescent="0.2">
      <c r="A34" s="3" t="s">
        <v>428</v>
      </c>
      <c r="B34" s="1"/>
      <c r="C34" s="1"/>
      <c r="D34" s="1"/>
      <c r="E34" s="1"/>
      <c r="F34" s="1"/>
      <c r="G34" s="1"/>
      <c r="H34" s="1"/>
      <c r="I34" s="1"/>
      <c r="J34" s="1">
        <v>809.32</v>
      </c>
      <c r="K34" s="1">
        <v>809.32</v>
      </c>
      <c r="L34" s="1">
        <v>209</v>
      </c>
      <c r="M34" s="1">
        <v>209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>
        <v>809.32</v>
      </c>
      <c r="AA34" s="1">
        <v>809.32</v>
      </c>
      <c r="AB34" s="1">
        <v>209</v>
      </c>
      <c r="AC34" s="1">
        <v>209</v>
      </c>
    </row>
    <row r="35" spans="1:29" x14ac:dyDescent="0.2">
      <c r="A35" s="3" t="s">
        <v>390</v>
      </c>
      <c r="B35" s="1">
        <v>898.41</v>
      </c>
      <c r="C35" s="1">
        <v>897.1</v>
      </c>
      <c r="D35" s="1">
        <v>190</v>
      </c>
      <c r="E35" s="1">
        <v>190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>
        <v>898.41</v>
      </c>
      <c r="AA35" s="1">
        <v>897.1</v>
      </c>
      <c r="AB35" s="1">
        <v>190</v>
      </c>
      <c r="AC35" s="1">
        <v>190</v>
      </c>
    </row>
    <row r="36" spans="1:29" x14ac:dyDescent="0.2">
      <c r="A36" s="3" t="s">
        <v>153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>
        <v>1335.36</v>
      </c>
      <c r="W36" s="1">
        <v>1325.16</v>
      </c>
      <c r="X36" s="1">
        <v>72</v>
      </c>
      <c r="Y36" s="1">
        <v>74</v>
      </c>
      <c r="Z36" s="1">
        <v>1335.36</v>
      </c>
      <c r="AA36" s="1">
        <v>1325.16</v>
      </c>
      <c r="AB36" s="1">
        <v>72</v>
      </c>
      <c r="AC36" s="1">
        <v>74</v>
      </c>
    </row>
    <row r="37" spans="1:29" x14ac:dyDescent="0.2">
      <c r="A37" s="3" t="s">
        <v>117</v>
      </c>
      <c r="B37" s="1"/>
      <c r="C37" s="1"/>
      <c r="D37" s="1"/>
      <c r="E37" s="1"/>
      <c r="F37" s="1">
        <v>1432.25</v>
      </c>
      <c r="G37" s="1">
        <v>1425.64</v>
      </c>
      <c r="H37" s="1">
        <v>54</v>
      </c>
      <c r="I37" s="1">
        <v>55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>
        <v>1432.25</v>
      </c>
      <c r="AA37" s="1">
        <v>1425.64</v>
      </c>
      <c r="AB37" s="1">
        <v>54</v>
      </c>
      <c r="AC37" s="1">
        <v>55</v>
      </c>
    </row>
    <row r="38" spans="1:29" x14ac:dyDescent="0.2">
      <c r="A38" s="3" t="s">
        <v>292</v>
      </c>
      <c r="B38" s="1"/>
      <c r="C38" s="1"/>
      <c r="D38" s="1"/>
      <c r="E38" s="1"/>
      <c r="F38" s="1">
        <v>1076.26</v>
      </c>
      <c r="G38" s="1">
        <v>1076.26</v>
      </c>
      <c r="H38" s="1">
        <v>141</v>
      </c>
      <c r="I38" s="1">
        <v>141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>
        <v>1076.26</v>
      </c>
      <c r="AA38" s="1">
        <v>1076.26</v>
      </c>
      <c r="AB38" s="1">
        <v>141</v>
      </c>
      <c r="AC38" s="1">
        <v>141</v>
      </c>
    </row>
    <row r="39" spans="1:29" x14ac:dyDescent="0.2">
      <c r="A39" s="3" t="s">
        <v>151</v>
      </c>
      <c r="B39" s="1"/>
      <c r="C39" s="1"/>
      <c r="D39" s="1"/>
      <c r="E39" s="1"/>
      <c r="F39" s="1">
        <v>1336.05</v>
      </c>
      <c r="G39" s="1">
        <v>1331.46</v>
      </c>
      <c r="H39" s="1">
        <v>71</v>
      </c>
      <c r="I39" s="1">
        <v>73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>
        <v>1336.05</v>
      </c>
      <c r="AA39" s="1">
        <v>1331.46</v>
      </c>
      <c r="AB39" s="1">
        <v>71</v>
      </c>
      <c r="AC39" s="1">
        <v>73</v>
      </c>
    </row>
    <row r="40" spans="1:29" x14ac:dyDescent="0.2">
      <c r="A40" s="3" t="s">
        <v>364</v>
      </c>
      <c r="B40" s="1">
        <v>948.62</v>
      </c>
      <c r="C40" s="1">
        <v>954.3</v>
      </c>
      <c r="D40" s="1">
        <v>177</v>
      </c>
      <c r="E40" s="1">
        <v>174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>
        <v>948.62</v>
      </c>
      <c r="AA40" s="1">
        <v>954.3</v>
      </c>
      <c r="AB40" s="1">
        <v>177</v>
      </c>
      <c r="AC40" s="1">
        <v>174</v>
      </c>
    </row>
    <row r="41" spans="1:29" x14ac:dyDescent="0.2">
      <c r="A41" s="3" t="s">
        <v>95</v>
      </c>
      <c r="B41" s="1"/>
      <c r="C41" s="1"/>
      <c r="D41" s="1"/>
      <c r="E41" s="1"/>
      <c r="F41" s="1">
        <v>1471.44</v>
      </c>
      <c r="G41" s="1">
        <v>1484.95</v>
      </c>
      <c r="H41" s="1">
        <v>43</v>
      </c>
      <c r="I41" s="1">
        <v>38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>
        <v>1471.44</v>
      </c>
      <c r="AA41" s="1">
        <v>1484.95</v>
      </c>
      <c r="AB41" s="1">
        <v>43</v>
      </c>
      <c r="AC41" s="1">
        <v>38</v>
      </c>
    </row>
    <row r="42" spans="1:29" x14ac:dyDescent="0.2">
      <c r="A42" s="3" t="s">
        <v>91</v>
      </c>
      <c r="B42" s="1"/>
      <c r="C42" s="1"/>
      <c r="D42" s="1"/>
      <c r="E42" s="1"/>
      <c r="F42" s="1"/>
      <c r="G42" s="1"/>
      <c r="H42" s="1"/>
      <c r="I42" s="1"/>
      <c r="J42" s="1">
        <v>1475</v>
      </c>
      <c r="K42" s="1">
        <v>1473.82</v>
      </c>
      <c r="L42" s="1">
        <v>41</v>
      </c>
      <c r="M42" s="1">
        <v>43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>
        <v>1475</v>
      </c>
      <c r="AA42" s="1">
        <v>1473.82</v>
      </c>
      <c r="AB42" s="1">
        <v>41</v>
      </c>
      <c r="AC42" s="1">
        <v>43</v>
      </c>
    </row>
    <row r="43" spans="1:29" x14ac:dyDescent="0.2">
      <c r="A43" s="3" t="s">
        <v>400</v>
      </c>
      <c r="B43" s="1"/>
      <c r="C43" s="1"/>
      <c r="D43" s="1"/>
      <c r="E43" s="1"/>
      <c r="F43" s="1"/>
      <c r="G43" s="1"/>
      <c r="H43" s="1"/>
      <c r="I43" s="1"/>
      <c r="J43" s="1">
        <v>865.72</v>
      </c>
      <c r="K43" s="1">
        <v>865.72</v>
      </c>
      <c r="L43" s="1">
        <v>195</v>
      </c>
      <c r="M43" s="1">
        <v>196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>
        <v>865.72</v>
      </c>
      <c r="AA43" s="1">
        <v>865.72</v>
      </c>
      <c r="AB43" s="1">
        <v>195</v>
      </c>
      <c r="AC43" s="1">
        <v>196</v>
      </c>
    </row>
    <row r="44" spans="1:29" x14ac:dyDescent="0.2">
      <c r="A44" s="3" t="s">
        <v>274</v>
      </c>
      <c r="B44" s="1"/>
      <c r="C44" s="1"/>
      <c r="D44" s="1"/>
      <c r="E44" s="1"/>
      <c r="F44" s="1">
        <v>1116.97</v>
      </c>
      <c r="G44" s="1">
        <v>1116.06</v>
      </c>
      <c r="H44" s="1">
        <v>132</v>
      </c>
      <c r="I44" s="1">
        <v>133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>
        <v>1116.97</v>
      </c>
      <c r="AA44" s="1">
        <v>1116.06</v>
      </c>
      <c r="AB44" s="1">
        <v>132</v>
      </c>
      <c r="AC44" s="1">
        <v>133</v>
      </c>
    </row>
    <row r="45" spans="1:29" x14ac:dyDescent="0.2">
      <c r="A45" s="3" t="s">
        <v>372</v>
      </c>
      <c r="B45" s="1"/>
      <c r="C45" s="1"/>
      <c r="D45" s="1"/>
      <c r="E45" s="1"/>
      <c r="F45" s="1">
        <v>930.22</v>
      </c>
      <c r="G45" s="1">
        <v>931.98</v>
      </c>
      <c r="H45" s="1">
        <v>181</v>
      </c>
      <c r="I45" s="1">
        <v>181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>
        <v>930.22</v>
      </c>
      <c r="AA45" s="1">
        <v>931.98</v>
      </c>
      <c r="AB45" s="1">
        <v>181</v>
      </c>
      <c r="AC45" s="1">
        <v>181</v>
      </c>
    </row>
    <row r="46" spans="1:29" x14ac:dyDescent="0.2">
      <c r="A46" s="3" t="s">
        <v>67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>
        <v>1509.61</v>
      </c>
      <c r="O46" s="1">
        <v>1514.86</v>
      </c>
      <c r="P46" s="1">
        <v>29</v>
      </c>
      <c r="Q46" s="1">
        <v>29</v>
      </c>
      <c r="R46" s="1"/>
      <c r="S46" s="1"/>
      <c r="T46" s="1"/>
      <c r="U46" s="1"/>
      <c r="V46" s="1"/>
      <c r="W46" s="1"/>
      <c r="X46" s="1"/>
      <c r="Y46" s="1"/>
      <c r="Z46" s="1">
        <v>1509.61</v>
      </c>
      <c r="AA46" s="1">
        <v>1514.86</v>
      </c>
      <c r="AB46" s="1">
        <v>29</v>
      </c>
      <c r="AC46" s="1">
        <v>29</v>
      </c>
    </row>
    <row r="47" spans="1:29" x14ac:dyDescent="0.2">
      <c r="A47" s="3" t="s">
        <v>167</v>
      </c>
      <c r="B47" s="1">
        <v>1305.06</v>
      </c>
      <c r="C47" s="1">
        <v>1305.06</v>
      </c>
      <c r="D47" s="1">
        <v>79</v>
      </c>
      <c r="E47" s="1">
        <v>78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>
        <v>1305.06</v>
      </c>
      <c r="AA47" s="1">
        <v>1305.06</v>
      </c>
      <c r="AB47" s="1">
        <v>79</v>
      </c>
      <c r="AC47" s="1">
        <v>78</v>
      </c>
    </row>
    <row r="48" spans="1:29" x14ac:dyDescent="0.2">
      <c r="A48" s="3" t="s">
        <v>324</v>
      </c>
      <c r="B48" s="1">
        <v>1017.78</v>
      </c>
      <c r="C48" s="1">
        <v>1017.78</v>
      </c>
      <c r="D48" s="1">
        <v>157</v>
      </c>
      <c r="E48" s="1">
        <v>157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>
        <v>1017.78</v>
      </c>
      <c r="AA48" s="1">
        <v>1017.78</v>
      </c>
      <c r="AB48" s="1">
        <v>157</v>
      </c>
      <c r="AC48" s="1">
        <v>157</v>
      </c>
    </row>
    <row r="49" spans="1:29" x14ac:dyDescent="0.2">
      <c r="A49" s="3" t="s">
        <v>41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>
        <v>1611.04</v>
      </c>
      <c r="O49" s="1">
        <v>1604.07</v>
      </c>
      <c r="P49" s="1">
        <v>17</v>
      </c>
      <c r="Q49" s="1">
        <v>17</v>
      </c>
      <c r="R49" s="1"/>
      <c r="S49" s="1"/>
      <c r="T49" s="1"/>
      <c r="U49" s="1"/>
      <c r="V49" s="1"/>
      <c r="W49" s="1"/>
      <c r="X49" s="1"/>
      <c r="Y49" s="1"/>
      <c r="Z49" s="1">
        <v>1611.04</v>
      </c>
      <c r="AA49" s="1">
        <v>1604.07</v>
      </c>
      <c r="AB49" s="1">
        <v>17</v>
      </c>
      <c r="AC49" s="1">
        <v>17</v>
      </c>
    </row>
    <row r="50" spans="1:29" x14ac:dyDescent="0.2">
      <c r="A50" s="3" t="s">
        <v>268</v>
      </c>
      <c r="B50" s="1"/>
      <c r="C50" s="1"/>
      <c r="D50" s="1"/>
      <c r="E50" s="1"/>
      <c r="F50" s="1">
        <v>1123.18</v>
      </c>
      <c r="G50" s="1">
        <v>1127.44</v>
      </c>
      <c r="H50" s="1">
        <v>129</v>
      </c>
      <c r="I50" s="1">
        <v>127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>
        <v>1123.18</v>
      </c>
      <c r="AA50" s="1">
        <v>1127.44</v>
      </c>
      <c r="AB50" s="1">
        <v>129</v>
      </c>
      <c r="AC50" s="1">
        <v>127</v>
      </c>
    </row>
    <row r="51" spans="1:29" x14ac:dyDescent="0.2">
      <c r="A51" s="3" t="s">
        <v>209</v>
      </c>
      <c r="B51" s="1"/>
      <c r="C51" s="1"/>
      <c r="D51" s="1"/>
      <c r="E51" s="1"/>
      <c r="F51" s="1">
        <v>1208.79</v>
      </c>
      <c r="G51" s="1">
        <v>1215.0899999999999</v>
      </c>
      <c r="H51" s="1">
        <v>100</v>
      </c>
      <c r="I51" s="1">
        <v>99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>
        <v>1208.79</v>
      </c>
      <c r="AA51" s="1">
        <v>1215.0899999999999</v>
      </c>
      <c r="AB51" s="1">
        <v>100</v>
      </c>
      <c r="AC51" s="1">
        <v>99</v>
      </c>
    </row>
    <row r="52" spans="1:29" x14ac:dyDescent="0.2">
      <c r="A52" s="3" t="s">
        <v>155</v>
      </c>
      <c r="B52" s="1"/>
      <c r="C52" s="1"/>
      <c r="D52" s="1"/>
      <c r="E52" s="1"/>
      <c r="F52" s="1">
        <v>1333.92</v>
      </c>
      <c r="G52" s="1">
        <v>1332.84</v>
      </c>
      <c r="H52" s="1">
        <v>73</v>
      </c>
      <c r="I52" s="1">
        <v>72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>
        <v>1333.92</v>
      </c>
      <c r="AA52" s="1">
        <v>1332.84</v>
      </c>
      <c r="AB52" s="1">
        <v>73</v>
      </c>
      <c r="AC52" s="1">
        <v>72</v>
      </c>
    </row>
    <row r="53" spans="1:29" x14ac:dyDescent="0.2">
      <c r="A53" s="3" t="s">
        <v>388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>
        <v>899.33</v>
      </c>
      <c r="S53" s="1">
        <v>899.33</v>
      </c>
      <c r="T53" s="1">
        <v>189</v>
      </c>
      <c r="U53" s="1">
        <v>189</v>
      </c>
      <c r="V53" s="1"/>
      <c r="W53" s="1"/>
      <c r="X53" s="1"/>
      <c r="Y53" s="1"/>
      <c r="Z53" s="1">
        <v>899.33</v>
      </c>
      <c r="AA53" s="1">
        <v>899.33</v>
      </c>
      <c r="AB53" s="1">
        <v>189</v>
      </c>
      <c r="AC53" s="1">
        <v>189</v>
      </c>
    </row>
    <row r="54" spans="1:29" x14ac:dyDescent="0.2">
      <c r="A54" s="3" t="s">
        <v>71</v>
      </c>
      <c r="B54" s="1"/>
      <c r="C54" s="1"/>
      <c r="D54" s="1"/>
      <c r="E54" s="1"/>
      <c r="F54" s="1"/>
      <c r="G54" s="1"/>
      <c r="H54" s="1"/>
      <c r="I54" s="1"/>
      <c r="J54" s="1">
        <v>1503.59</v>
      </c>
      <c r="K54" s="1">
        <v>1500.06</v>
      </c>
      <c r="L54" s="1">
        <v>31</v>
      </c>
      <c r="M54" s="1">
        <v>34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>
        <v>1503.59</v>
      </c>
      <c r="AA54" s="1">
        <v>1500.06</v>
      </c>
      <c r="AB54" s="1">
        <v>31</v>
      </c>
      <c r="AC54" s="1">
        <v>34</v>
      </c>
    </row>
    <row r="55" spans="1:29" x14ac:dyDescent="0.2">
      <c r="A55" s="3" t="s">
        <v>105</v>
      </c>
      <c r="B55" s="1"/>
      <c r="C55" s="1"/>
      <c r="D55" s="1"/>
      <c r="E55" s="1"/>
      <c r="F55" s="1">
        <v>1443.06</v>
      </c>
      <c r="G55" s="1">
        <v>1435.91</v>
      </c>
      <c r="H55" s="1">
        <v>48</v>
      </c>
      <c r="I55" s="1">
        <v>52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>
        <v>1443.06</v>
      </c>
      <c r="AA55" s="1">
        <v>1435.91</v>
      </c>
      <c r="AB55" s="1">
        <v>48</v>
      </c>
      <c r="AC55" s="1">
        <v>52</v>
      </c>
    </row>
    <row r="56" spans="1:29" x14ac:dyDescent="0.2">
      <c r="A56" s="3" t="s">
        <v>31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>
        <v>1645.64</v>
      </c>
      <c r="W56" s="1">
        <v>1632.15</v>
      </c>
      <c r="X56" s="1">
        <v>12</v>
      </c>
      <c r="Y56" s="1">
        <v>15</v>
      </c>
      <c r="Z56" s="1">
        <v>1645.64</v>
      </c>
      <c r="AA56" s="1">
        <v>1632.15</v>
      </c>
      <c r="AB56" s="1">
        <v>12</v>
      </c>
      <c r="AC56" s="1">
        <v>15</v>
      </c>
    </row>
    <row r="57" spans="1:29" x14ac:dyDescent="0.2">
      <c r="A57" s="3" t="s">
        <v>344</v>
      </c>
      <c r="B57" s="1"/>
      <c r="C57" s="1"/>
      <c r="D57" s="1"/>
      <c r="E57" s="1"/>
      <c r="F57" s="1"/>
      <c r="G57" s="1"/>
      <c r="H57" s="1"/>
      <c r="I57" s="1"/>
      <c r="J57" s="1">
        <v>978.65</v>
      </c>
      <c r="K57" s="1">
        <v>978.65</v>
      </c>
      <c r="L57" s="1">
        <v>167</v>
      </c>
      <c r="M57" s="1">
        <v>167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>
        <v>978.65</v>
      </c>
      <c r="AA57" s="1">
        <v>978.65</v>
      </c>
      <c r="AB57" s="1">
        <v>167</v>
      </c>
      <c r="AC57" s="1">
        <v>167</v>
      </c>
    </row>
    <row r="58" spans="1:29" x14ac:dyDescent="0.2">
      <c r="A58" s="3" t="s">
        <v>181</v>
      </c>
      <c r="B58" s="1"/>
      <c r="C58" s="1"/>
      <c r="D58" s="1"/>
      <c r="E58" s="1"/>
      <c r="F58" s="1"/>
      <c r="G58" s="1"/>
      <c r="H58" s="1"/>
      <c r="I58" s="1"/>
      <c r="J58" s="1">
        <v>1278.6400000000001</v>
      </c>
      <c r="K58" s="1">
        <v>1293.3499999999999</v>
      </c>
      <c r="L58" s="1">
        <v>86</v>
      </c>
      <c r="M58" s="1">
        <v>84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>
        <v>1278.6400000000001</v>
      </c>
      <c r="AA58" s="1">
        <v>1293.3499999999999</v>
      </c>
      <c r="AB58" s="1">
        <v>86</v>
      </c>
      <c r="AC58" s="1">
        <v>84</v>
      </c>
    </row>
    <row r="59" spans="1:29" x14ac:dyDescent="0.2">
      <c r="A59" s="3" t="s">
        <v>230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>
        <v>1183.82</v>
      </c>
      <c r="W59" s="1">
        <v>1180.52</v>
      </c>
      <c r="X59" s="1">
        <v>110</v>
      </c>
      <c r="Y59" s="1">
        <v>108</v>
      </c>
      <c r="Z59" s="1">
        <v>1183.82</v>
      </c>
      <c r="AA59" s="1">
        <v>1180.52</v>
      </c>
      <c r="AB59" s="1">
        <v>110</v>
      </c>
      <c r="AC59" s="1">
        <v>108</v>
      </c>
    </row>
    <row r="60" spans="1:29" x14ac:dyDescent="0.2">
      <c r="A60" s="3" t="s">
        <v>79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>
        <v>1492.21</v>
      </c>
      <c r="W60" s="1">
        <v>1502.9</v>
      </c>
      <c r="X60" s="1">
        <v>35</v>
      </c>
      <c r="Y60" s="1">
        <v>32</v>
      </c>
      <c r="Z60" s="1">
        <v>1492.21</v>
      </c>
      <c r="AA60" s="1">
        <v>1502.9</v>
      </c>
      <c r="AB60" s="1">
        <v>35</v>
      </c>
      <c r="AC60" s="1">
        <v>32</v>
      </c>
    </row>
    <row r="61" spans="1:29" x14ac:dyDescent="0.2">
      <c r="A61" s="3" t="s">
        <v>27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>
        <v>1666.57</v>
      </c>
      <c r="W61" s="1">
        <v>1665.47</v>
      </c>
      <c r="X61" s="1">
        <v>10</v>
      </c>
      <c r="Y61" s="1">
        <v>10</v>
      </c>
      <c r="Z61" s="1">
        <v>1666.57</v>
      </c>
      <c r="AA61" s="1">
        <v>1665.47</v>
      </c>
      <c r="AB61" s="1">
        <v>10</v>
      </c>
      <c r="AC61" s="1">
        <v>10</v>
      </c>
    </row>
    <row r="62" spans="1:29" x14ac:dyDescent="0.2">
      <c r="A62" s="3" t="s">
        <v>396</v>
      </c>
      <c r="B62" s="1"/>
      <c r="C62" s="1"/>
      <c r="D62" s="1"/>
      <c r="E62" s="1"/>
      <c r="F62" s="1">
        <v>875.05</v>
      </c>
      <c r="G62" s="1">
        <v>877.84</v>
      </c>
      <c r="H62" s="1">
        <v>193</v>
      </c>
      <c r="I62" s="1">
        <v>193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>
        <v>875.05</v>
      </c>
      <c r="AA62" s="1">
        <v>877.84</v>
      </c>
      <c r="AB62" s="1">
        <v>193</v>
      </c>
      <c r="AC62" s="1">
        <v>193</v>
      </c>
    </row>
    <row r="63" spans="1:29" x14ac:dyDescent="0.2">
      <c r="A63" s="3" t="s">
        <v>378</v>
      </c>
      <c r="B63" s="1"/>
      <c r="C63" s="1"/>
      <c r="D63" s="1"/>
      <c r="E63" s="1"/>
      <c r="F63" s="1"/>
      <c r="G63" s="1"/>
      <c r="H63" s="1"/>
      <c r="I63" s="1"/>
      <c r="J63" s="1">
        <v>911.51</v>
      </c>
      <c r="K63" s="1">
        <v>911.51</v>
      </c>
      <c r="L63" s="1">
        <v>184</v>
      </c>
      <c r="M63" s="1">
        <v>185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>
        <v>911.51</v>
      </c>
      <c r="AA63" s="1">
        <v>911.51</v>
      </c>
      <c r="AB63" s="1">
        <v>184</v>
      </c>
      <c r="AC63" s="1">
        <v>185</v>
      </c>
    </row>
    <row r="64" spans="1:29" x14ac:dyDescent="0.2">
      <c r="A64" s="3" t="s">
        <v>316</v>
      </c>
      <c r="B64" s="1"/>
      <c r="C64" s="1"/>
      <c r="D64" s="1"/>
      <c r="E64" s="1"/>
      <c r="F64" s="1"/>
      <c r="G64" s="1"/>
      <c r="H64" s="1"/>
      <c r="I64" s="1"/>
      <c r="J64" s="1">
        <v>1031.8599999999999</v>
      </c>
      <c r="K64" s="1">
        <v>1031.8599999999999</v>
      </c>
      <c r="L64" s="1">
        <v>153</v>
      </c>
      <c r="M64" s="1">
        <v>151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>
        <v>1031.8599999999999</v>
      </c>
      <c r="AA64" s="1">
        <v>1031.8599999999999</v>
      </c>
      <c r="AB64" s="1">
        <v>153</v>
      </c>
      <c r="AC64" s="1">
        <v>151</v>
      </c>
    </row>
    <row r="65" spans="1:29" x14ac:dyDescent="0.2">
      <c r="A65" s="3" t="s">
        <v>97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>
        <v>1464.39</v>
      </c>
      <c r="O65" s="1">
        <v>1463.74</v>
      </c>
      <c r="P65" s="1">
        <v>44</v>
      </c>
      <c r="Q65" s="1">
        <v>44</v>
      </c>
      <c r="R65" s="1"/>
      <c r="S65" s="1"/>
      <c r="T65" s="1"/>
      <c r="U65" s="1"/>
      <c r="V65" s="1"/>
      <c r="W65" s="1"/>
      <c r="X65" s="1"/>
      <c r="Y65" s="1"/>
      <c r="Z65" s="1">
        <v>1464.39</v>
      </c>
      <c r="AA65" s="1">
        <v>1463.74</v>
      </c>
      <c r="AB65" s="1">
        <v>44</v>
      </c>
      <c r="AC65" s="1">
        <v>44</v>
      </c>
    </row>
    <row r="66" spans="1:29" x14ac:dyDescent="0.2">
      <c r="A66" s="3" t="s">
        <v>87</v>
      </c>
      <c r="B66" s="1"/>
      <c r="C66" s="1"/>
      <c r="D66" s="1"/>
      <c r="E66" s="1"/>
      <c r="F66" s="1">
        <v>1486.44</v>
      </c>
      <c r="G66" s="1">
        <v>1482.63</v>
      </c>
      <c r="H66" s="1">
        <v>39</v>
      </c>
      <c r="I66" s="1">
        <v>40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>
        <v>1486.44</v>
      </c>
      <c r="AA66" s="1">
        <v>1482.63</v>
      </c>
      <c r="AB66" s="1">
        <v>39</v>
      </c>
      <c r="AC66" s="1">
        <v>40</v>
      </c>
    </row>
    <row r="67" spans="1:29" x14ac:dyDescent="0.2">
      <c r="A67" s="3" t="s">
        <v>157</v>
      </c>
      <c r="B67" s="1"/>
      <c r="C67" s="1"/>
      <c r="D67" s="1"/>
      <c r="E67" s="1"/>
      <c r="F67" s="1"/>
      <c r="G67" s="1"/>
      <c r="H67" s="1"/>
      <c r="I67" s="1"/>
      <c r="J67" s="1">
        <v>1330.51</v>
      </c>
      <c r="K67" s="1">
        <v>1333.48</v>
      </c>
      <c r="L67" s="1">
        <v>74</v>
      </c>
      <c r="M67" s="1">
        <v>71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>
        <v>1330.51</v>
      </c>
      <c r="AA67" s="1">
        <v>1333.48</v>
      </c>
      <c r="AB67" s="1">
        <v>74</v>
      </c>
      <c r="AC67" s="1">
        <v>71</v>
      </c>
    </row>
    <row r="68" spans="1:29" x14ac:dyDescent="0.2">
      <c r="A68" s="3" t="s">
        <v>17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>
        <v>1728.47</v>
      </c>
      <c r="W68" s="1">
        <v>1737.46</v>
      </c>
      <c r="X68" s="1">
        <v>5</v>
      </c>
      <c r="Y68" s="1">
        <v>5</v>
      </c>
      <c r="Z68" s="1">
        <v>1728.47</v>
      </c>
      <c r="AA68" s="1">
        <v>1737.46</v>
      </c>
      <c r="AB68" s="1">
        <v>5</v>
      </c>
      <c r="AC68" s="1">
        <v>5</v>
      </c>
    </row>
    <row r="69" spans="1:29" x14ac:dyDescent="0.2">
      <c r="A69" s="3" t="s">
        <v>205</v>
      </c>
      <c r="B69" s="1"/>
      <c r="C69" s="1"/>
      <c r="D69" s="1"/>
      <c r="E69" s="1"/>
      <c r="F69" s="1">
        <v>1215.6600000000001</v>
      </c>
      <c r="G69" s="1">
        <v>1215.33</v>
      </c>
      <c r="H69" s="1">
        <v>98</v>
      </c>
      <c r="I69" s="1">
        <v>98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>
        <v>1215.6600000000001</v>
      </c>
      <c r="AA69" s="1">
        <v>1215.33</v>
      </c>
      <c r="AB69" s="1">
        <v>98</v>
      </c>
      <c r="AC69" s="1">
        <v>98</v>
      </c>
    </row>
    <row r="70" spans="1:29" x14ac:dyDescent="0.2">
      <c r="A70" s="3" t="s">
        <v>410</v>
      </c>
      <c r="B70" s="1"/>
      <c r="C70" s="1"/>
      <c r="D70" s="1"/>
      <c r="E70" s="1"/>
      <c r="F70" s="1">
        <v>855.56</v>
      </c>
      <c r="G70" s="1">
        <v>855.56</v>
      </c>
      <c r="H70" s="1">
        <v>200</v>
      </c>
      <c r="I70" s="1">
        <v>201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>
        <v>855.56</v>
      </c>
      <c r="AA70" s="1">
        <v>855.56</v>
      </c>
      <c r="AB70" s="1">
        <v>200</v>
      </c>
      <c r="AC70" s="1">
        <v>201</v>
      </c>
    </row>
    <row r="71" spans="1:29" x14ac:dyDescent="0.2">
      <c r="A71" s="3" t="s">
        <v>228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>
        <v>1184.6400000000001</v>
      </c>
      <c r="W71" s="1">
        <v>1177.4000000000001</v>
      </c>
      <c r="X71" s="1">
        <v>109</v>
      </c>
      <c r="Y71" s="1">
        <v>110</v>
      </c>
      <c r="Z71" s="1">
        <v>1184.6400000000001</v>
      </c>
      <c r="AA71" s="1">
        <v>1177.4000000000001</v>
      </c>
      <c r="AB71" s="1">
        <v>109</v>
      </c>
      <c r="AC71" s="1">
        <v>110</v>
      </c>
    </row>
    <row r="72" spans="1:29" x14ac:dyDescent="0.2">
      <c r="A72" s="3" t="s">
        <v>296</v>
      </c>
      <c r="B72" s="1"/>
      <c r="C72" s="1"/>
      <c r="D72" s="1"/>
      <c r="E72" s="1"/>
      <c r="F72" s="1">
        <v>1070.8900000000001</v>
      </c>
      <c r="G72" s="1">
        <v>1070.8900000000001</v>
      </c>
      <c r="H72" s="1">
        <v>143</v>
      </c>
      <c r="I72" s="1">
        <v>144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>
        <v>1070.8900000000001</v>
      </c>
      <c r="AA72" s="1">
        <v>1070.8900000000001</v>
      </c>
      <c r="AB72" s="1">
        <v>143</v>
      </c>
      <c r="AC72" s="1">
        <v>144</v>
      </c>
    </row>
    <row r="73" spans="1:29" x14ac:dyDescent="0.2">
      <c r="A73" s="3" t="s">
        <v>286</v>
      </c>
      <c r="B73" s="1"/>
      <c r="C73" s="1"/>
      <c r="D73" s="1"/>
      <c r="E73" s="1"/>
      <c r="F73" s="1">
        <v>1091.19</v>
      </c>
      <c r="G73" s="1">
        <v>1088.27</v>
      </c>
      <c r="H73" s="1">
        <v>138</v>
      </c>
      <c r="I73" s="1">
        <v>138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>
        <v>1091.19</v>
      </c>
      <c r="AA73" s="1">
        <v>1088.27</v>
      </c>
      <c r="AB73" s="1">
        <v>138</v>
      </c>
      <c r="AC73" s="1">
        <v>138</v>
      </c>
    </row>
    <row r="74" spans="1:29" x14ac:dyDescent="0.2">
      <c r="A74" s="3" t="s">
        <v>254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>
        <v>1147.17</v>
      </c>
      <c r="W74" s="1">
        <v>1136.29</v>
      </c>
      <c r="X74" s="1">
        <v>122</v>
      </c>
      <c r="Y74" s="1">
        <v>125</v>
      </c>
      <c r="Z74" s="1">
        <v>1147.17</v>
      </c>
      <c r="AA74" s="1">
        <v>1136.29</v>
      </c>
      <c r="AB74" s="1">
        <v>122</v>
      </c>
      <c r="AC74" s="1">
        <v>125</v>
      </c>
    </row>
    <row r="75" spans="1:29" x14ac:dyDescent="0.2">
      <c r="A75" s="3" t="s">
        <v>336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>
        <v>989.43</v>
      </c>
      <c r="S75" s="1">
        <v>993.37</v>
      </c>
      <c r="T75" s="1">
        <v>163</v>
      </c>
      <c r="U75" s="1">
        <v>163</v>
      </c>
      <c r="V75" s="1"/>
      <c r="W75" s="1"/>
      <c r="X75" s="1"/>
      <c r="Y75" s="1"/>
      <c r="Z75" s="1">
        <v>989.43</v>
      </c>
      <c r="AA75" s="1">
        <v>993.37</v>
      </c>
      <c r="AB75" s="1">
        <v>163</v>
      </c>
      <c r="AC75" s="1">
        <v>163</v>
      </c>
    </row>
    <row r="76" spans="1:29" x14ac:dyDescent="0.2">
      <c r="A76" s="3" t="s">
        <v>121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>
        <v>1405.6</v>
      </c>
      <c r="W76" s="1">
        <v>1398.41</v>
      </c>
      <c r="X76" s="1">
        <v>56</v>
      </c>
      <c r="Y76" s="1">
        <v>59</v>
      </c>
      <c r="Z76" s="1">
        <v>1405.6</v>
      </c>
      <c r="AA76" s="1">
        <v>1398.41</v>
      </c>
      <c r="AB76" s="1">
        <v>56</v>
      </c>
      <c r="AC76" s="1">
        <v>59</v>
      </c>
    </row>
    <row r="77" spans="1:29" x14ac:dyDescent="0.2">
      <c r="A77" s="3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>
        <v>1759.78</v>
      </c>
      <c r="W77" s="1">
        <v>1764.85</v>
      </c>
      <c r="X77" s="1">
        <v>4</v>
      </c>
      <c r="Y77" s="1">
        <v>4</v>
      </c>
      <c r="Z77" s="1">
        <v>1759.78</v>
      </c>
      <c r="AA77" s="1">
        <v>1764.85</v>
      </c>
      <c r="AB77" s="1">
        <v>4</v>
      </c>
      <c r="AC77" s="1">
        <v>4</v>
      </c>
    </row>
    <row r="78" spans="1:29" x14ac:dyDescent="0.2">
      <c r="A78" s="3" t="s">
        <v>171</v>
      </c>
      <c r="B78" s="1"/>
      <c r="C78" s="1"/>
      <c r="D78" s="1"/>
      <c r="E78" s="1"/>
      <c r="F78" s="1">
        <v>1301.8399999999999</v>
      </c>
      <c r="G78" s="1">
        <v>1301.8399999999999</v>
      </c>
      <c r="H78" s="1">
        <v>81</v>
      </c>
      <c r="I78" s="1">
        <v>79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>
        <v>1301.8399999999999</v>
      </c>
      <c r="AA78" s="1">
        <v>1301.8399999999999</v>
      </c>
      <c r="AB78" s="1">
        <v>81</v>
      </c>
      <c r="AC78" s="1">
        <v>79</v>
      </c>
    </row>
    <row r="79" spans="1:29" x14ac:dyDescent="0.2">
      <c r="A79" s="3" t="s">
        <v>165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>
        <v>1307.3399999999999</v>
      </c>
      <c r="W79" s="1">
        <v>1296.46</v>
      </c>
      <c r="X79" s="1">
        <v>78</v>
      </c>
      <c r="Y79" s="1">
        <v>82</v>
      </c>
      <c r="Z79" s="1">
        <v>1307.3399999999999</v>
      </c>
      <c r="AA79" s="1">
        <v>1296.46</v>
      </c>
      <c r="AB79" s="1">
        <v>78</v>
      </c>
      <c r="AC79" s="1">
        <v>82</v>
      </c>
    </row>
    <row r="80" spans="1:29" x14ac:dyDescent="0.2">
      <c r="A80" s="3" t="s">
        <v>29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>
        <v>1650.21</v>
      </c>
      <c r="W80" s="1">
        <v>1658.96</v>
      </c>
      <c r="X80" s="1">
        <v>11</v>
      </c>
      <c r="Y80" s="1">
        <v>11</v>
      </c>
      <c r="Z80" s="1">
        <v>1650.21</v>
      </c>
      <c r="AA80" s="1">
        <v>1658.96</v>
      </c>
      <c r="AB80" s="1">
        <v>11</v>
      </c>
      <c r="AC80" s="1">
        <v>11</v>
      </c>
    </row>
    <row r="81" spans="1:29" x14ac:dyDescent="0.2">
      <c r="A81" s="3" t="s">
        <v>131</v>
      </c>
      <c r="B81" s="1"/>
      <c r="C81" s="1"/>
      <c r="D81" s="1"/>
      <c r="E81" s="1"/>
      <c r="F81" s="1">
        <v>1393</v>
      </c>
      <c r="G81" s="1">
        <v>1393.47</v>
      </c>
      <c r="H81" s="1">
        <v>61</v>
      </c>
      <c r="I81" s="1">
        <v>60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>
        <v>1393</v>
      </c>
      <c r="AA81" s="1">
        <v>1393.47</v>
      </c>
      <c r="AB81" s="1">
        <v>61</v>
      </c>
      <c r="AC81" s="1">
        <v>60</v>
      </c>
    </row>
    <row r="82" spans="1:29" x14ac:dyDescent="0.2">
      <c r="A82" s="3" t="s">
        <v>418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>
        <v>852.16</v>
      </c>
      <c r="W82" s="1">
        <v>856.55</v>
      </c>
      <c r="X82" s="1">
        <v>204</v>
      </c>
      <c r="Y82" s="1">
        <v>200</v>
      </c>
      <c r="Z82" s="1">
        <v>852.16</v>
      </c>
      <c r="AA82" s="1">
        <v>856.55</v>
      </c>
      <c r="AB82" s="1">
        <v>204</v>
      </c>
      <c r="AC82" s="1">
        <v>200</v>
      </c>
    </row>
    <row r="83" spans="1:29" x14ac:dyDescent="0.2">
      <c r="A83" s="3" t="s">
        <v>113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>
        <v>1437.6</v>
      </c>
      <c r="W83" s="1">
        <v>1441.45</v>
      </c>
      <c r="X83" s="1">
        <v>52</v>
      </c>
      <c r="Y83" s="1">
        <v>49</v>
      </c>
      <c r="Z83" s="1">
        <v>1437.6</v>
      </c>
      <c r="AA83" s="1">
        <v>1441.45</v>
      </c>
      <c r="AB83" s="1">
        <v>52</v>
      </c>
      <c r="AC83" s="1">
        <v>49</v>
      </c>
    </row>
    <row r="84" spans="1:29" x14ac:dyDescent="0.2">
      <c r="A84" s="3" t="s">
        <v>356</v>
      </c>
      <c r="B84" s="1"/>
      <c r="C84" s="1"/>
      <c r="D84" s="1"/>
      <c r="E84" s="1"/>
      <c r="F84" s="1"/>
      <c r="G84" s="1"/>
      <c r="H84" s="1"/>
      <c r="I84" s="1"/>
      <c r="J84" s="1">
        <v>963.72</v>
      </c>
      <c r="K84" s="1">
        <v>969</v>
      </c>
      <c r="L84" s="1">
        <v>173</v>
      </c>
      <c r="M84" s="1">
        <v>171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>
        <v>963.72</v>
      </c>
      <c r="AA84" s="1">
        <v>969</v>
      </c>
      <c r="AB84" s="1">
        <v>173</v>
      </c>
      <c r="AC84" s="1">
        <v>171</v>
      </c>
    </row>
    <row r="85" spans="1:29" x14ac:dyDescent="0.2">
      <c r="A85" s="3" t="s">
        <v>420</v>
      </c>
      <c r="B85" s="1">
        <v>838.33</v>
      </c>
      <c r="C85" s="1">
        <v>838.33</v>
      </c>
      <c r="D85" s="1">
        <v>205</v>
      </c>
      <c r="E85" s="1">
        <v>205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>
        <v>838.33</v>
      </c>
      <c r="AA85" s="1">
        <v>838.33</v>
      </c>
      <c r="AB85" s="1">
        <v>205</v>
      </c>
      <c r="AC85" s="1">
        <v>205</v>
      </c>
    </row>
    <row r="86" spans="1:29" x14ac:dyDescent="0.2">
      <c r="A86" s="3" t="s">
        <v>246</v>
      </c>
      <c r="B86" s="1"/>
      <c r="C86" s="1"/>
      <c r="D86" s="1"/>
      <c r="E86" s="1"/>
      <c r="F86" s="1"/>
      <c r="G86" s="1"/>
      <c r="H86" s="1"/>
      <c r="I86" s="1"/>
      <c r="J86" s="1">
        <v>1156.7</v>
      </c>
      <c r="K86" s="1">
        <v>1161.96</v>
      </c>
      <c r="L86" s="1">
        <v>118</v>
      </c>
      <c r="M86" s="1">
        <v>118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>
        <v>1156.7</v>
      </c>
      <c r="AA86" s="1">
        <v>1161.96</v>
      </c>
      <c r="AB86" s="1">
        <v>118</v>
      </c>
      <c r="AC86" s="1">
        <v>118</v>
      </c>
    </row>
    <row r="87" spans="1:29" x14ac:dyDescent="0.2">
      <c r="A87" s="3" t="s">
        <v>175</v>
      </c>
      <c r="B87" s="1"/>
      <c r="C87" s="1"/>
      <c r="D87" s="1"/>
      <c r="E87" s="1"/>
      <c r="F87" s="1">
        <v>1290.47</v>
      </c>
      <c r="G87" s="1">
        <v>1294.8900000000001</v>
      </c>
      <c r="H87" s="1">
        <v>83</v>
      </c>
      <c r="I87" s="1">
        <v>83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>
        <v>1290.47</v>
      </c>
      <c r="AA87" s="1">
        <v>1294.8900000000001</v>
      </c>
      <c r="AB87" s="1">
        <v>83</v>
      </c>
      <c r="AC87" s="1">
        <v>83</v>
      </c>
    </row>
    <row r="88" spans="1:29" x14ac:dyDescent="0.2">
      <c r="A88" s="3" t="s">
        <v>242</v>
      </c>
      <c r="B88" s="1"/>
      <c r="C88" s="1"/>
      <c r="D88" s="1"/>
      <c r="E88" s="1"/>
      <c r="F88" s="1">
        <v>1160.71</v>
      </c>
      <c r="G88" s="1">
        <v>1165.53</v>
      </c>
      <c r="H88" s="1">
        <v>116</v>
      </c>
      <c r="I88" s="1">
        <v>115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>
        <v>1160.71</v>
      </c>
      <c r="AA88" s="1">
        <v>1165.53</v>
      </c>
      <c r="AB88" s="1">
        <v>116</v>
      </c>
      <c r="AC88" s="1">
        <v>115</v>
      </c>
    </row>
    <row r="89" spans="1:29" x14ac:dyDescent="0.2">
      <c r="A89" s="3" t="s">
        <v>352</v>
      </c>
      <c r="B89" s="1"/>
      <c r="C89" s="1"/>
      <c r="D89" s="1"/>
      <c r="E89" s="1"/>
      <c r="F89" s="1"/>
      <c r="G89" s="1"/>
      <c r="H89" s="1"/>
      <c r="I89" s="1"/>
      <c r="J89" s="1">
        <v>968.74</v>
      </c>
      <c r="K89" s="1">
        <v>968.74</v>
      </c>
      <c r="L89" s="1">
        <v>171</v>
      </c>
      <c r="M89" s="1">
        <v>172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>
        <v>968.74</v>
      </c>
      <c r="AA89" s="1">
        <v>968.74</v>
      </c>
      <c r="AB89" s="1">
        <v>171</v>
      </c>
      <c r="AC89" s="1">
        <v>172</v>
      </c>
    </row>
    <row r="90" spans="1:29" x14ac:dyDescent="0.2">
      <c r="A90" s="3" t="s">
        <v>183</v>
      </c>
      <c r="B90" s="1"/>
      <c r="C90" s="1"/>
      <c r="D90" s="1"/>
      <c r="E90" s="1"/>
      <c r="F90" s="1"/>
      <c r="G90" s="1"/>
      <c r="H90" s="1"/>
      <c r="I90" s="1"/>
      <c r="J90" s="1">
        <v>1269.07</v>
      </c>
      <c r="K90" s="1">
        <v>1269.07</v>
      </c>
      <c r="L90" s="1">
        <v>87</v>
      </c>
      <c r="M90" s="1">
        <v>88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>
        <v>1269.07</v>
      </c>
      <c r="AA90" s="1">
        <v>1269.07</v>
      </c>
      <c r="AB90" s="1">
        <v>87</v>
      </c>
      <c r="AC90" s="1">
        <v>88</v>
      </c>
    </row>
    <row r="91" spans="1:29" x14ac:dyDescent="0.2">
      <c r="A91" s="3" t="s">
        <v>169</v>
      </c>
      <c r="B91" s="1"/>
      <c r="C91" s="1"/>
      <c r="D91" s="1"/>
      <c r="E91" s="1"/>
      <c r="F91" s="1"/>
      <c r="G91" s="1"/>
      <c r="H91" s="1"/>
      <c r="I91" s="1"/>
      <c r="J91" s="1">
        <v>1301.98</v>
      </c>
      <c r="K91" s="1">
        <v>1299.69</v>
      </c>
      <c r="L91" s="1">
        <v>80</v>
      </c>
      <c r="M91" s="1">
        <v>80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>
        <v>1301.98</v>
      </c>
      <c r="AA91" s="1">
        <v>1299.69</v>
      </c>
      <c r="AB91" s="1">
        <v>80</v>
      </c>
      <c r="AC91" s="1">
        <v>80</v>
      </c>
    </row>
    <row r="92" spans="1:29" x14ac:dyDescent="0.2">
      <c r="A92" s="3" t="s">
        <v>300</v>
      </c>
      <c r="B92" s="1">
        <v>1062.3900000000001</v>
      </c>
      <c r="C92" s="1">
        <v>1058.3699999999999</v>
      </c>
      <c r="D92" s="1">
        <v>145</v>
      </c>
      <c r="E92" s="1">
        <v>147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>
        <v>1062.3900000000001</v>
      </c>
      <c r="AA92" s="1">
        <v>1058.3699999999999</v>
      </c>
      <c r="AB92" s="1">
        <v>145</v>
      </c>
      <c r="AC92" s="1">
        <v>147</v>
      </c>
    </row>
    <row r="93" spans="1:29" x14ac:dyDescent="0.2">
      <c r="A93" s="3" t="s">
        <v>81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>
        <v>1492.2</v>
      </c>
      <c r="W93" s="1">
        <v>1486.76</v>
      </c>
      <c r="X93" s="1">
        <v>36</v>
      </c>
      <c r="Y93" s="1">
        <v>37</v>
      </c>
      <c r="Z93" s="1">
        <v>1492.2</v>
      </c>
      <c r="AA93" s="1">
        <v>1486.76</v>
      </c>
      <c r="AB93" s="1">
        <v>36</v>
      </c>
      <c r="AC93" s="1">
        <v>37</v>
      </c>
    </row>
    <row r="94" spans="1:29" x14ac:dyDescent="0.2">
      <c r="A94" s="3" t="s">
        <v>133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>
        <v>1384.41</v>
      </c>
      <c r="W94" s="1">
        <v>1379.61</v>
      </c>
      <c r="X94" s="1">
        <v>62</v>
      </c>
      <c r="Y94" s="1">
        <v>63</v>
      </c>
      <c r="Z94" s="1">
        <v>1384.41</v>
      </c>
      <c r="AA94" s="1">
        <v>1379.61</v>
      </c>
      <c r="AB94" s="1">
        <v>62</v>
      </c>
      <c r="AC94" s="1">
        <v>63</v>
      </c>
    </row>
    <row r="95" spans="1:29" x14ac:dyDescent="0.2">
      <c r="A95" s="3" t="s">
        <v>222</v>
      </c>
      <c r="B95" s="1">
        <v>1192.0899999999999</v>
      </c>
      <c r="C95" s="1">
        <v>1198.6500000000001</v>
      </c>
      <c r="D95" s="1">
        <v>106</v>
      </c>
      <c r="E95" s="1">
        <v>104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>
        <v>1192.0899999999999</v>
      </c>
      <c r="AA95" s="1">
        <v>1198.6500000000001</v>
      </c>
      <c r="AB95" s="1">
        <v>106</v>
      </c>
      <c r="AC95" s="1">
        <v>104</v>
      </c>
    </row>
    <row r="96" spans="1:29" x14ac:dyDescent="0.2">
      <c r="A96" s="3" t="s">
        <v>314</v>
      </c>
      <c r="B96" s="1">
        <v>1033.9000000000001</v>
      </c>
      <c r="C96" s="1">
        <v>1019.19</v>
      </c>
      <c r="D96" s="1">
        <v>152</v>
      </c>
      <c r="E96" s="1">
        <v>155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>
        <v>1033.9000000000001</v>
      </c>
      <c r="AA96" s="1">
        <v>1019.19</v>
      </c>
      <c r="AB96" s="1">
        <v>152</v>
      </c>
      <c r="AC96" s="1">
        <v>155</v>
      </c>
    </row>
    <row r="97" spans="1:29" x14ac:dyDescent="0.2">
      <c r="A97" s="3" t="s">
        <v>48</v>
      </c>
      <c r="B97" s="1">
        <v>1564.61</v>
      </c>
      <c r="C97" s="1">
        <v>1558.64</v>
      </c>
      <c r="D97" s="1">
        <v>20</v>
      </c>
      <c r="E97" s="1">
        <v>22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>
        <v>1564.61</v>
      </c>
      <c r="AA97" s="1">
        <v>1558.64</v>
      </c>
      <c r="AB97" s="1">
        <v>20</v>
      </c>
      <c r="AC97" s="1">
        <v>22</v>
      </c>
    </row>
    <row r="98" spans="1:29" x14ac:dyDescent="0.2">
      <c r="A98" s="3" t="s">
        <v>145</v>
      </c>
      <c r="B98" s="1">
        <v>1343.01</v>
      </c>
      <c r="C98" s="1">
        <v>1338.91</v>
      </c>
      <c r="D98" s="1">
        <v>68</v>
      </c>
      <c r="E98" s="1">
        <v>70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>
        <v>1343.01</v>
      </c>
      <c r="AA98" s="1">
        <v>1338.91</v>
      </c>
      <c r="AB98" s="1">
        <v>68</v>
      </c>
      <c r="AC98" s="1">
        <v>70</v>
      </c>
    </row>
    <row r="99" spans="1:29" x14ac:dyDescent="0.2">
      <c r="A99" s="3" t="s">
        <v>161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>
        <v>1316.55</v>
      </c>
      <c r="W99" s="1">
        <v>1316.35</v>
      </c>
      <c r="X99" s="1">
        <v>76</v>
      </c>
      <c r="Y99" s="1">
        <v>76</v>
      </c>
      <c r="Z99" s="1">
        <v>1316.55</v>
      </c>
      <c r="AA99" s="1">
        <v>1316.35</v>
      </c>
      <c r="AB99" s="1">
        <v>76</v>
      </c>
      <c r="AC99" s="1">
        <v>76</v>
      </c>
    </row>
    <row r="100" spans="1:29" x14ac:dyDescent="0.2">
      <c r="A100" s="3" t="s">
        <v>19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>
        <v>1726.14</v>
      </c>
      <c r="W100" s="1">
        <v>1713.86</v>
      </c>
      <c r="X100" s="1">
        <v>6</v>
      </c>
      <c r="Y100" s="1">
        <v>7</v>
      </c>
      <c r="Z100" s="1">
        <v>1726.14</v>
      </c>
      <c r="AA100" s="1">
        <v>1713.86</v>
      </c>
      <c r="AB100" s="1">
        <v>6</v>
      </c>
      <c r="AC100" s="1">
        <v>7</v>
      </c>
    </row>
    <row r="101" spans="1:29" x14ac:dyDescent="0.2">
      <c r="A101" s="3" t="s">
        <v>137</v>
      </c>
      <c r="B101" s="1"/>
      <c r="C101" s="1"/>
      <c r="D101" s="1"/>
      <c r="E101" s="1"/>
      <c r="F101" s="1"/>
      <c r="G101" s="1"/>
      <c r="H101" s="1"/>
      <c r="I101" s="1"/>
      <c r="J101" s="1">
        <v>1378.86</v>
      </c>
      <c r="K101" s="1">
        <v>1382.06</v>
      </c>
      <c r="L101" s="1">
        <v>64</v>
      </c>
      <c r="M101" s="1">
        <v>62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>
        <v>1378.86</v>
      </c>
      <c r="AA101" s="1">
        <v>1382.06</v>
      </c>
      <c r="AB101" s="1">
        <v>64</v>
      </c>
      <c r="AC101" s="1">
        <v>62</v>
      </c>
    </row>
    <row r="102" spans="1:29" x14ac:dyDescent="0.2">
      <c r="A102" s="3" t="s">
        <v>57</v>
      </c>
      <c r="B102" s="1">
        <v>1559.54</v>
      </c>
      <c r="C102" s="1">
        <v>1554.69</v>
      </c>
      <c r="D102" s="1">
        <v>24</v>
      </c>
      <c r="E102" s="1">
        <v>24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>
        <v>1559.54</v>
      </c>
      <c r="AA102" s="1">
        <v>1554.69</v>
      </c>
      <c r="AB102" s="1">
        <v>24</v>
      </c>
      <c r="AC102" s="1">
        <v>24</v>
      </c>
    </row>
    <row r="103" spans="1:29" x14ac:dyDescent="0.2">
      <c r="A103" s="3" t="s">
        <v>177</v>
      </c>
      <c r="B103" s="1">
        <v>1289.99</v>
      </c>
      <c r="C103" s="1">
        <v>1279.74</v>
      </c>
      <c r="D103" s="1">
        <v>84</v>
      </c>
      <c r="E103" s="1">
        <v>86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>
        <v>1289.99</v>
      </c>
      <c r="AA103" s="1">
        <v>1279.74</v>
      </c>
      <c r="AB103" s="1">
        <v>84</v>
      </c>
      <c r="AC103" s="1">
        <v>86</v>
      </c>
    </row>
    <row r="104" spans="1:29" x14ac:dyDescent="0.2">
      <c r="A104" s="3" t="s">
        <v>236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>
        <v>1166.6300000000001</v>
      </c>
      <c r="W104" s="1">
        <v>1166.28</v>
      </c>
      <c r="X104" s="1">
        <v>113</v>
      </c>
      <c r="Y104" s="1">
        <v>114</v>
      </c>
      <c r="Z104" s="1">
        <v>1166.6300000000001</v>
      </c>
      <c r="AA104" s="1">
        <v>1166.28</v>
      </c>
      <c r="AB104" s="1">
        <v>113</v>
      </c>
      <c r="AC104" s="1">
        <v>114</v>
      </c>
    </row>
    <row r="105" spans="1:29" x14ac:dyDescent="0.2">
      <c r="A105" s="3" t="s">
        <v>211</v>
      </c>
      <c r="B105" s="1"/>
      <c r="C105" s="1"/>
      <c r="D105" s="1"/>
      <c r="E105" s="1"/>
      <c r="F105" s="1">
        <v>1202.26</v>
      </c>
      <c r="G105" s="1">
        <v>1202.26</v>
      </c>
      <c r="H105" s="1">
        <v>101</v>
      </c>
      <c r="I105" s="1">
        <v>102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>
        <v>1202.26</v>
      </c>
      <c r="AA105" s="1">
        <v>1202.26</v>
      </c>
      <c r="AB105" s="1">
        <v>101</v>
      </c>
      <c r="AC105" s="1">
        <v>102</v>
      </c>
    </row>
    <row r="106" spans="1:29" x14ac:dyDescent="0.2">
      <c r="A106" s="3" t="s">
        <v>234</v>
      </c>
      <c r="B106" s="1">
        <v>1169.96</v>
      </c>
      <c r="C106" s="1">
        <v>1169.96</v>
      </c>
      <c r="D106" s="1">
        <v>112</v>
      </c>
      <c r="E106" s="1">
        <v>112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>
        <v>1169.96</v>
      </c>
      <c r="AA106" s="1">
        <v>1169.96</v>
      </c>
      <c r="AB106" s="1">
        <v>112</v>
      </c>
      <c r="AC106" s="1">
        <v>112</v>
      </c>
    </row>
    <row r="107" spans="1:29" x14ac:dyDescent="0.2">
      <c r="A107" s="3" t="s">
        <v>65</v>
      </c>
      <c r="B107" s="1">
        <v>1530.3</v>
      </c>
      <c r="C107" s="1">
        <v>1526.02</v>
      </c>
      <c r="D107" s="1">
        <v>28</v>
      </c>
      <c r="E107" s="1">
        <v>28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>
        <v>1530.3</v>
      </c>
      <c r="AA107" s="1">
        <v>1526.02</v>
      </c>
      <c r="AB107" s="1">
        <v>28</v>
      </c>
      <c r="AC107" s="1">
        <v>28</v>
      </c>
    </row>
    <row r="108" spans="1:29" x14ac:dyDescent="0.2">
      <c r="A108" s="3" t="s">
        <v>224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>
        <v>1187.01</v>
      </c>
      <c r="W108" s="1">
        <v>1183.9000000000001</v>
      </c>
      <c r="X108" s="1">
        <v>107</v>
      </c>
      <c r="Y108" s="1">
        <v>106</v>
      </c>
      <c r="Z108" s="1">
        <v>1187.01</v>
      </c>
      <c r="AA108" s="1">
        <v>1183.9000000000001</v>
      </c>
      <c r="AB108" s="1">
        <v>107</v>
      </c>
      <c r="AC108" s="1">
        <v>106</v>
      </c>
    </row>
    <row r="109" spans="1:29" x14ac:dyDescent="0.2">
      <c r="A109" s="3" t="s">
        <v>308</v>
      </c>
      <c r="B109" s="1">
        <v>1053.4100000000001</v>
      </c>
      <c r="C109" s="1">
        <v>1053.4100000000001</v>
      </c>
      <c r="D109" s="1">
        <v>149</v>
      </c>
      <c r="E109" s="1">
        <v>149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>
        <v>1053.4100000000001</v>
      </c>
      <c r="AA109" s="1">
        <v>1053.4100000000001</v>
      </c>
      <c r="AB109" s="1">
        <v>149</v>
      </c>
      <c r="AC109" s="1">
        <v>149</v>
      </c>
    </row>
    <row r="110" spans="1:29" x14ac:dyDescent="0.2">
      <c r="A110" s="3" t="s">
        <v>199</v>
      </c>
      <c r="B110" s="1">
        <v>1230.22</v>
      </c>
      <c r="C110" s="1">
        <v>1232.9100000000001</v>
      </c>
      <c r="D110" s="1">
        <v>95</v>
      </c>
      <c r="E110" s="1">
        <v>95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>
        <v>1230.22</v>
      </c>
      <c r="AA110" s="1">
        <v>1232.9100000000001</v>
      </c>
      <c r="AB110" s="1">
        <v>95</v>
      </c>
      <c r="AC110" s="1">
        <v>95</v>
      </c>
    </row>
    <row r="111" spans="1:29" x14ac:dyDescent="0.2">
      <c r="A111" s="3" t="s">
        <v>384</v>
      </c>
      <c r="B111" s="1">
        <v>905.51</v>
      </c>
      <c r="C111" s="1">
        <v>914.66</v>
      </c>
      <c r="D111" s="1">
        <v>187</v>
      </c>
      <c r="E111" s="1">
        <v>183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>
        <v>905.51</v>
      </c>
      <c r="AA111" s="1">
        <v>914.66</v>
      </c>
      <c r="AB111" s="1">
        <v>187</v>
      </c>
      <c r="AC111" s="1">
        <v>183</v>
      </c>
    </row>
    <row r="112" spans="1:29" x14ac:dyDescent="0.2">
      <c r="A112" s="3" t="s">
        <v>278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>
        <v>1114.21</v>
      </c>
      <c r="W112" s="1">
        <v>1125.3599999999999</v>
      </c>
      <c r="X112" s="1">
        <v>134</v>
      </c>
      <c r="Y112" s="1">
        <v>129</v>
      </c>
      <c r="Z112" s="1">
        <v>1114.21</v>
      </c>
      <c r="AA112" s="1">
        <v>1125.3599999999999</v>
      </c>
      <c r="AB112" s="1">
        <v>134</v>
      </c>
      <c r="AC112" s="1">
        <v>129</v>
      </c>
    </row>
    <row r="113" spans="1:29" x14ac:dyDescent="0.2">
      <c r="A113" s="3" t="s">
        <v>207</v>
      </c>
      <c r="B113" s="1">
        <v>1211.71</v>
      </c>
      <c r="C113" s="1">
        <v>1211.71</v>
      </c>
      <c r="D113" s="1">
        <v>99</v>
      </c>
      <c r="E113" s="1">
        <v>100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>
        <v>1211.71</v>
      </c>
      <c r="AA113" s="1">
        <v>1211.71</v>
      </c>
      <c r="AB113" s="1">
        <v>99</v>
      </c>
      <c r="AC113" s="1">
        <v>100</v>
      </c>
    </row>
    <row r="114" spans="1:29" x14ac:dyDescent="0.2">
      <c r="A114" s="3" t="s">
        <v>304</v>
      </c>
      <c r="B114" s="1"/>
      <c r="C114" s="1"/>
      <c r="D114" s="1"/>
      <c r="E114" s="1"/>
      <c r="F114" s="1">
        <v>1061.4000000000001</v>
      </c>
      <c r="G114" s="1">
        <v>1061.4000000000001</v>
      </c>
      <c r="H114" s="1">
        <v>147</v>
      </c>
      <c r="I114" s="1">
        <v>145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>
        <v>1061.4000000000001</v>
      </c>
      <c r="AA114" s="1">
        <v>1061.4000000000001</v>
      </c>
      <c r="AB114" s="1">
        <v>147</v>
      </c>
      <c r="AC114" s="1">
        <v>145</v>
      </c>
    </row>
    <row r="115" spans="1:29" x14ac:dyDescent="0.2">
      <c r="A115" s="3" t="s">
        <v>310</v>
      </c>
      <c r="B115" s="1"/>
      <c r="C115" s="1"/>
      <c r="D115" s="1"/>
      <c r="E115" s="1"/>
      <c r="F115" s="1">
        <v>1049.6600000000001</v>
      </c>
      <c r="G115" s="1">
        <v>1051.25</v>
      </c>
      <c r="H115" s="1">
        <v>150</v>
      </c>
      <c r="I115" s="1">
        <v>150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>
        <v>1049.6600000000001</v>
      </c>
      <c r="AA115" s="1">
        <v>1051.25</v>
      </c>
      <c r="AB115" s="1">
        <v>150</v>
      </c>
      <c r="AC115" s="1">
        <v>150</v>
      </c>
    </row>
    <row r="116" spans="1:29" x14ac:dyDescent="0.2">
      <c r="A116" s="3" t="s">
        <v>250</v>
      </c>
      <c r="B116" s="1"/>
      <c r="C116" s="1"/>
      <c r="D116" s="1"/>
      <c r="E116" s="1"/>
      <c r="F116" s="1">
        <v>1154.25</v>
      </c>
      <c r="G116" s="1">
        <v>1148.3599999999999</v>
      </c>
      <c r="H116" s="1">
        <v>120</v>
      </c>
      <c r="I116" s="1">
        <v>121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>
        <v>1154.25</v>
      </c>
      <c r="AA116" s="1">
        <v>1148.3599999999999</v>
      </c>
      <c r="AB116" s="1">
        <v>120</v>
      </c>
      <c r="AC116" s="1">
        <v>121</v>
      </c>
    </row>
    <row r="117" spans="1:29" x14ac:dyDescent="0.2">
      <c r="A117" s="3" t="s">
        <v>402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>
        <v>862.39</v>
      </c>
      <c r="W117" s="1">
        <v>873.99</v>
      </c>
      <c r="X117" s="1">
        <v>196</v>
      </c>
      <c r="Y117" s="1">
        <v>194</v>
      </c>
      <c r="Z117" s="1">
        <v>862.39</v>
      </c>
      <c r="AA117" s="1">
        <v>873.99</v>
      </c>
      <c r="AB117" s="1">
        <v>196</v>
      </c>
      <c r="AC117" s="1">
        <v>194</v>
      </c>
    </row>
    <row r="118" spans="1:29" x14ac:dyDescent="0.2">
      <c r="A118" s="3" t="s">
        <v>298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>
        <v>1069.75</v>
      </c>
      <c r="W118" s="1">
        <v>1074.08</v>
      </c>
      <c r="X118" s="1">
        <v>144</v>
      </c>
      <c r="Y118" s="1">
        <v>142</v>
      </c>
      <c r="Z118" s="1">
        <v>1069.75</v>
      </c>
      <c r="AA118" s="1">
        <v>1074.08</v>
      </c>
      <c r="AB118" s="1">
        <v>144</v>
      </c>
      <c r="AC118" s="1">
        <v>142</v>
      </c>
    </row>
    <row r="119" spans="1:29" x14ac:dyDescent="0.2">
      <c r="A119" s="3" t="s">
        <v>193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>
        <v>1243.8</v>
      </c>
      <c r="W119" s="1">
        <v>1235.3599999999999</v>
      </c>
      <c r="X119" s="1">
        <v>92</v>
      </c>
      <c r="Y119" s="1">
        <v>93</v>
      </c>
      <c r="Z119" s="1">
        <v>1243.8</v>
      </c>
      <c r="AA119" s="1">
        <v>1235.3599999999999</v>
      </c>
      <c r="AB119" s="1">
        <v>92</v>
      </c>
      <c r="AC119" s="1">
        <v>93</v>
      </c>
    </row>
    <row r="120" spans="1:29" x14ac:dyDescent="0.2">
      <c r="A120" s="3" t="s">
        <v>374</v>
      </c>
      <c r="B120" s="1">
        <v>922.1</v>
      </c>
      <c r="C120" s="1">
        <v>922.1</v>
      </c>
      <c r="D120" s="1">
        <v>182</v>
      </c>
      <c r="E120" s="1">
        <v>182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>
        <v>922.1</v>
      </c>
      <c r="AA120" s="1">
        <v>922.1</v>
      </c>
      <c r="AB120" s="1">
        <v>182</v>
      </c>
      <c r="AC120" s="1">
        <v>182</v>
      </c>
    </row>
    <row r="121" spans="1:29" x14ac:dyDescent="0.2">
      <c r="A121" s="3" t="s">
        <v>213</v>
      </c>
      <c r="B121" s="1"/>
      <c r="C121" s="1"/>
      <c r="D121" s="1"/>
      <c r="E121" s="1"/>
      <c r="F121" s="1">
        <v>1200.74</v>
      </c>
      <c r="G121" s="1">
        <v>1193.78</v>
      </c>
      <c r="H121" s="1">
        <v>102</v>
      </c>
      <c r="I121" s="1">
        <v>105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>
        <v>1200.74</v>
      </c>
      <c r="AA121" s="1">
        <v>1193.78</v>
      </c>
      <c r="AB121" s="1">
        <v>102</v>
      </c>
      <c r="AC121" s="1">
        <v>105</v>
      </c>
    </row>
    <row r="122" spans="1:29" x14ac:dyDescent="0.2">
      <c r="A122" s="3" t="s">
        <v>258</v>
      </c>
      <c r="B122" s="1"/>
      <c r="C122" s="1"/>
      <c r="D122" s="1"/>
      <c r="E122" s="1"/>
      <c r="F122" s="1">
        <v>1144.97</v>
      </c>
      <c r="G122" s="1">
        <v>1144.77</v>
      </c>
      <c r="H122" s="1">
        <v>124</v>
      </c>
      <c r="I122" s="1">
        <v>122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>
        <v>1144.97</v>
      </c>
      <c r="AA122" s="1">
        <v>1144.77</v>
      </c>
      <c r="AB122" s="1">
        <v>124</v>
      </c>
      <c r="AC122" s="1">
        <v>122</v>
      </c>
    </row>
    <row r="123" spans="1:29" x14ac:dyDescent="0.2">
      <c r="A123" s="3" t="s">
        <v>302</v>
      </c>
      <c r="B123" s="1">
        <v>1062.32</v>
      </c>
      <c r="C123" s="1">
        <v>1057.5899999999999</v>
      </c>
      <c r="D123" s="1">
        <v>146</v>
      </c>
      <c r="E123" s="1">
        <v>148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>
        <v>1062.32</v>
      </c>
      <c r="AA123" s="1">
        <v>1057.5899999999999</v>
      </c>
      <c r="AB123" s="1">
        <v>146</v>
      </c>
      <c r="AC123" s="1">
        <v>148</v>
      </c>
    </row>
    <row r="124" spans="1:29" x14ac:dyDescent="0.2">
      <c r="A124" s="3" t="s">
        <v>318</v>
      </c>
      <c r="B124" s="1">
        <v>1026.0899999999999</v>
      </c>
      <c r="C124" s="1">
        <v>1018.25</v>
      </c>
      <c r="D124" s="1">
        <v>154</v>
      </c>
      <c r="E124" s="1">
        <v>156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>
        <v>1026.0899999999999</v>
      </c>
      <c r="AA124" s="1">
        <v>1018.25</v>
      </c>
      <c r="AB124" s="1">
        <v>154</v>
      </c>
      <c r="AC124" s="1">
        <v>156</v>
      </c>
    </row>
    <row r="125" spans="1:29" x14ac:dyDescent="0.2">
      <c r="A125" s="3" t="s">
        <v>101</v>
      </c>
      <c r="B125" s="1"/>
      <c r="C125" s="1"/>
      <c r="D125" s="1"/>
      <c r="E125" s="1"/>
      <c r="F125" s="1">
        <v>1448.85</v>
      </c>
      <c r="G125" s="1">
        <v>1442.88</v>
      </c>
      <c r="H125" s="1">
        <v>46</v>
      </c>
      <c r="I125" s="1">
        <v>46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>
        <v>1448.85</v>
      </c>
      <c r="AA125" s="1">
        <v>1442.88</v>
      </c>
      <c r="AB125" s="1">
        <v>46</v>
      </c>
      <c r="AC125" s="1">
        <v>46</v>
      </c>
    </row>
    <row r="126" spans="1:29" x14ac:dyDescent="0.2">
      <c r="A126" s="3" t="s">
        <v>346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>
        <v>977.92</v>
      </c>
      <c r="W126" s="1">
        <v>974.68</v>
      </c>
      <c r="X126" s="1">
        <v>168</v>
      </c>
      <c r="Y126" s="1">
        <v>169</v>
      </c>
      <c r="Z126" s="1">
        <v>977.92</v>
      </c>
      <c r="AA126" s="1">
        <v>974.68</v>
      </c>
      <c r="AB126" s="1">
        <v>168</v>
      </c>
      <c r="AC126" s="1">
        <v>169</v>
      </c>
    </row>
    <row r="127" spans="1:29" x14ac:dyDescent="0.2">
      <c r="A127" s="3" t="s">
        <v>215</v>
      </c>
      <c r="B127" s="1"/>
      <c r="C127" s="1"/>
      <c r="D127" s="1"/>
      <c r="E127" s="1"/>
      <c r="F127" s="1">
        <v>1197.58</v>
      </c>
      <c r="G127" s="1">
        <v>1181.8599999999999</v>
      </c>
      <c r="H127" s="1">
        <v>103</v>
      </c>
      <c r="I127" s="1">
        <v>107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>
        <v>1197.58</v>
      </c>
      <c r="AA127" s="1">
        <v>1181.8599999999999</v>
      </c>
      <c r="AB127" s="1">
        <v>103</v>
      </c>
      <c r="AC127" s="1">
        <v>107</v>
      </c>
    </row>
    <row r="128" spans="1:29" x14ac:dyDescent="0.2">
      <c r="A128" s="3" t="s">
        <v>370</v>
      </c>
      <c r="B128" s="1"/>
      <c r="C128" s="1"/>
      <c r="D128" s="1"/>
      <c r="E128" s="1"/>
      <c r="F128" s="1">
        <v>932.02</v>
      </c>
      <c r="G128" s="1">
        <v>932.02</v>
      </c>
      <c r="H128" s="1">
        <v>180</v>
      </c>
      <c r="I128" s="1">
        <v>180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>
        <v>932.02</v>
      </c>
      <c r="AA128" s="1">
        <v>932.02</v>
      </c>
      <c r="AB128" s="1">
        <v>180</v>
      </c>
      <c r="AC128" s="1">
        <v>180</v>
      </c>
    </row>
    <row r="129" spans="1:29" x14ac:dyDescent="0.2">
      <c r="A129" s="3" t="s">
        <v>33</v>
      </c>
      <c r="B129" s="1"/>
      <c r="C129" s="1"/>
      <c r="D129" s="1"/>
      <c r="E129" s="1"/>
      <c r="F129" s="1"/>
      <c r="G129" s="1"/>
      <c r="H129" s="1"/>
      <c r="I129" s="1"/>
      <c r="J129" s="1">
        <v>1644.89</v>
      </c>
      <c r="K129" s="1">
        <v>1649.57</v>
      </c>
      <c r="L129" s="1">
        <v>13</v>
      </c>
      <c r="M129" s="1">
        <v>12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>
        <v>1644.89</v>
      </c>
      <c r="AA129" s="1">
        <v>1649.57</v>
      </c>
      <c r="AB129" s="1">
        <v>13</v>
      </c>
      <c r="AC129" s="1">
        <v>12</v>
      </c>
    </row>
    <row r="130" spans="1:29" x14ac:dyDescent="0.2">
      <c r="A130" s="3" t="s">
        <v>358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>
        <v>961.23</v>
      </c>
      <c r="W130" s="1">
        <v>944.96</v>
      </c>
      <c r="X130" s="1">
        <v>174</v>
      </c>
      <c r="Y130" s="1">
        <v>177</v>
      </c>
      <c r="Z130" s="1">
        <v>961.23</v>
      </c>
      <c r="AA130" s="1">
        <v>944.96</v>
      </c>
      <c r="AB130" s="1">
        <v>174</v>
      </c>
      <c r="AC130" s="1">
        <v>177</v>
      </c>
    </row>
    <row r="131" spans="1:29" x14ac:dyDescent="0.2">
      <c r="A131" s="3" t="s">
        <v>376</v>
      </c>
      <c r="B131" s="1">
        <v>913.55</v>
      </c>
      <c r="C131" s="1">
        <v>913.55</v>
      </c>
      <c r="D131" s="1">
        <v>183</v>
      </c>
      <c r="E131" s="1">
        <v>184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>
        <v>913.55</v>
      </c>
      <c r="AA131" s="1">
        <v>913.55</v>
      </c>
      <c r="AB131" s="1">
        <v>183</v>
      </c>
      <c r="AC131" s="1">
        <v>184</v>
      </c>
    </row>
    <row r="132" spans="1:29" x14ac:dyDescent="0.2">
      <c r="A132" s="3" t="s">
        <v>147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>
        <v>1341.03</v>
      </c>
      <c r="W132" s="1">
        <v>1354.59</v>
      </c>
      <c r="X132" s="1">
        <v>69</v>
      </c>
      <c r="Y132" s="1">
        <v>67</v>
      </c>
      <c r="Z132" s="1">
        <v>1341.03</v>
      </c>
      <c r="AA132" s="1">
        <v>1354.59</v>
      </c>
      <c r="AB132" s="1">
        <v>69</v>
      </c>
      <c r="AC132" s="1">
        <v>67</v>
      </c>
    </row>
    <row r="133" spans="1:29" x14ac:dyDescent="0.2">
      <c r="A133" s="3" t="s">
        <v>368</v>
      </c>
      <c r="B133" s="1"/>
      <c r="C133" s="1"/>
      <c r="D133" s="1"/>
      <c r="E133" s="1"/>
      <c r="F133" s="1"/>
      <c r="G133" s="1"/>
      <c r="H133" s="1"/>
      <c r="I133" s="1"/>
      <c r="J133" s="1">
        <v>940.78</v>
      </c>
      <c r="K133" s="1">
        <v>940.78</v>
      </c>
      <c r="L133" s="1">
        <v>179</v>
      </c>
      <c r="M133" s="1">
        <v>178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>
        <v>940.78</v>
      </c>
      <c r="AA133" s="1">
        <v>940.78</v>
      </c>
      <c r="AB133" s="1">
        <v>179</v>
      </c>
      <c r="AC133" s="1">
        <v>178</v>
      </c>
    </row>
    <row r="134" spans="1:29" x14ac:dyDescent="0.2">
      <c r="A134" s="3" t="s">
        <v>53</v>
      </c>
      <c r="B134" s="1"/>
      <c r="C134" s="1"/>
      <c r="D134" s="1"/>
      <c r="E134" s="1"/>
      <c r="F134" s="1">
        <v>1563.5</v>
      </c>
      <c r="G134" s="1">
        <v>1558.35</v>
      </c>
      <c r="H134" s="1">
        <v>22</v>
      </c>
      <c r="I134" s="1">
        <v>23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>
        <v>1563.5</v>
      </c>
      <c r="AA134" s="1">
        <v>1558.35</v>
      </c>
      <c r="AB134" s="1">
        <v>22</v>
      </c>
      <c r="AC134" s="1">
        <v>23</v>
      </c>
    </row>
    <row r="135" spans="1:29" x14ac:dyDescent="0.2">
      <c r="A135" s="3" t="s">
        <v>238</v>
      </c>
      <c r="B135" s="1"/>
      <c r="C135" s="1"/>
      <c r="D135" s="1"/>
      <c r="E135" s="1"/>
      <c r="F135" s="1">
        <v>1165.22</v>
      </c>
      <c r="G135" s="1">
        <v>1165.4100000000001</v>
      </c>
      <c r="H135" s="1">
        <v>114</v>
      </c>
      <c r="I135" s="1">
        <v>116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>
        <v>1165.22</v>
      </c>
      <c r="AA135" s="1">
        <v>1165.4100000000001</v>
      </c>
      <c r="AB135" s="1">
        <v>114</v>
      </c>
      <c r="AC135" s="1">
        <v>116</v>
      </c>
    </row>
    <row r="136" spans="1:29" x14ac:dyDescent="0.2">
      <c r="A136" s="3" t="s">
        <v>326</v>
      </c>
      <c r="B136" s="1">
        <v>1007.89</v>
      </c>
      <c r="C136" s="1">
        <v>1011.91</v>
      </c>
      <c r="D136" s="1">
        <v>158</v>
      </c>
      <c r="E136" s="1">
        <v>158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>
        <v>1007.89</v>
      </c>
      <c r="AA136" s="1">
        <v>1011.91</v>
      </c>
      <c r="AB136" s="1">
        <v>158</v>
      </c>
      <c r="AC136" s="1">
        <v>158</v>
      </c>
    </row>
    <row r="137" spans="1:29" x14ac:dyDescent="0.2">
      <c r="A137" s="3" t="s">
        <v>240</v>
      </c>
      <c r="B137" s="1"/>
      <c r="C137" s="1"/>
      <c r="D137" s="1"/>
      <c r="E137" s="1"/>
      <c r="F137" s="1">
        <v>1164.1300000000001</v>
      </c>
      <c r="G137" s="1">
        <v>1164.1300000000001</v>
      </c>
      <c r="H137" s="1">
        <v>115</v>
      </c>
      <c r="I137" s="1">
        <v>117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>
        <v>1164.1300000000001</v>
      </c>
      <c r="AA137" s="1">
        <v>1164.1300000000001</v>
      </c>
      <c r="AB137" s="1">
        <v>115</v>
      </c>
      <c r="AC137" s="1">
        <v>117</v>
      </c>
    </row>
    <row r="138" spans="1:29" x14ac:dyDescent="0.2">
      <c r="A138" s="3" t="s">
        <v>360</v>
      </c>
      <c r="B138" s="1">
        <v>954.86</v>
      </c>
      <c r="C138" s="1">
        <v>950.45</v>
      </c>
      <c r="D138" s="1">
        <v>175</v>
      </c>
      <c r="E138" s="1">
        <v>176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>
        <v>954.86</v>
      </c>
      <c r="AA138" s="1">
        <v>950.45</v>
      </c>
      <c r="AB138" s="1">
        <v>175</v>
      </c>
      <c r="AC138" s="1">
        <v>176</v>
      </c>
    </row>
    <row r="139" spans="1:29" x14ac:dyDescent="0.2">
      <c r="A139" s="3" t="s">
        <v>23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>
        <v>1694.51</v>
      </c>
      <c r="W139" s="1">
        <v>1679.41</v>
      </c>
      <c r="X139" s="1">
        <v>8</v>
      </c>
      <c r="Y139" s="1">
        <v>8</v>
      </c>
      <c r="Z139" s="1">
        <v>1694.51</v>
      </c>
      <c r="AA139" s="1">
        <v>1679.41</v>
      </c>
      <c r="AB139" s="1">
        <v>8</v>
      </c>
      <c r="AC139" s="1">
        <v>8</v>
      </c>
    </row>
    <row r="140" spans="1:29" x14ac:dyDescent="0.2">
      <c r="A140" s="3" t="s">
        <v>332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>
        <v>995.58</v>
      </c>
      <c r="S140" s="1">
        <v>999.7</v>
      </c>
      <c r="T140" s="1">
        <v>161</v>
      </c>
      <c r="U140" s="1">
        <v>160</v>
      </c>
      <c r="V140" s="1"/>
      <c r="W140" s="1"/>
      <c r="X140" s="1"/>
      <c r="Y140" s="1"/>
      <c r="Z140" s="1">
        <v>995.58</v>
      </c>
      <c r="AA140" s="1">
        <v>999.7</v>
      </c>
      <c r="AB140" s="1">
        <v>161</v>
      </c>
      <c r="AC140" s="1">
        <v>160</v>
      </c>
    </row>
    <row r="141" spans="1:29" x14ac:dyDescent="0.2">
      <c r="A141" s="3" t="s">
        <v>219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>
        <v>1193.98</v>
      </c>
      <c r="S141" s="1">
        <v>1198.96</v>
      </c>
      <c r="T141" s="1">
        <v>105</v>
      </c>
      <c r="U141" s="1">
        <v>103</v>
      </c>
      <c r="V141" s="1"/>
      <c r="W141" s="1"/>
      <c r="X141" s="1"/>
      <c r="Y141" s="1"/>
      <c r="Z141" s="1">
        <v>1193.98</v>
      </c>
      <c r="AA141" s="1">
        <v>1198.96</v>
      </c>
      <c r="AB141" s="1">
        <v>105</v>
      </c>
      <c r="AC141" s="1">
        <v>103</v>
      </c>
    </row>
    <row r="142" spans="1:29" x14ac:dyDescent="0.2">
      <c r="A142" s="3" t="s">
        <v>294</v>
      </c>
      <c r="B142" s="1"/>
      <c r="C142" s="1"/>
      <c r="D142" s="1"/>
      <c r="E142" s="1"/>
      <c r="F142" s="1"/>
      <c r="G142" s="1"/>
      <c r="H142" s="1"/>
      <c r="I142" s="1"/>
      <c r="J142" s="1">
        <v>1071.83</v>
      </c>
      <c r="K142" s="1">
        <v>1079.18</v>
      </c>
      <c r="L142" s="1">
        <v>142</v>
      </c>
      <c r="M142" s="1">
        <v>139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>
        <v>1071.83</v>
      </c>
      <c r="AA142" s="1">
        <v>1079.18</v>
      </c>
      <c r="AB142" s="1">
        <v>142</v>
      </c>
      <c r="AC142" s="1">
        <v>139</v>
      </c>
    </row>
    <row r="143" spans="1:29" x14ac:dyDescent="0.2">
      <c r="A143" s="3" t="s">
        <v>252</v>
      </c>
      <c r="B143" s="1"/>
      <c r="C143" s="1"/>
      <c r="D143" s="1"/>
      <c r="E143" s="1"/>
      <c r="F143" s="1">
        <v>1152.8</v>
      </c>
      <c r="G143" s="1">
        <v>1155.23</v>
      </c>
      <c r="H143" s="1">
        <v>121</v>
      </c>
      <c r="I143" s="1">
        <v>119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>
        <v>1152.8</v>
      </c>
      <c r="AA143" s="1">
        <v>1155.23</v>
      </c>
      <c r="AB143" s="1">
        <v>121</v>
      </c>
      <c r="AC143" s="1">
        <v>119</v>
      </c>
    </row>
    <row r="144" spans="1:29" x14ac:dyDescent="0.2">
      <c r="A144" s="3" t="s">
        <v>73</v>
      </c>
      <c r="B144" s="1"/>
      <c r="C144" s="1"/>
      <c r="D144" s="1"/>
      <c r="E144" s="1"/>
      <c r="F144" s="1">
        <v>1498.47</v>
      </c>
      <c r="G144" s="1">
        <v>1504.7</v>
      </c>
      <c r="H144" s="1">
        <v>32</v>
      </c>
      <c r="I144" s="1">
        <v>31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>
        <v>1498.47</v>
      </c>
      <c r="AA144" s="1">
        <v>1504.7</v>
      </c>
      <c r="AB144" s="1">
        <v>32</v>
      </c>
      <c r="AC144" s="1">
        <v>31</v>
      </c>
    </row>
    <row r="145" spans="1:29" x14ac:dyDescent="0.2">
      <c r="A145" s="3" t="s">
        <v>139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>
        <v>1358.51</v>
      </c>
      <c r="W145" s="1">
        <v>1375.2</v>
      </c>
      <c r="X145" s="1">
        <v>65</v>
      </c>
      <c r="Y145" s="1">
        <v>64</v>
      </c>
      <c r="Z145" s="1">
        <v>1358.51</v>
      </c>
      <c r="AA145" s="1">
        <v>1375.2</v>
      </c>
      <c r="AB145" s="1">
        <v>65</v>
      </c>
      <c r="AC145" s="1">
        <v>64</v>
      </c>
    </row>
    <row r="146" spans="1:29" x14ac:dyDescent="0.2">
      <c r="A146" s="3" t="s">
        <v>127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>
        <v>1396.55</v>
      </c>
      <c r="W146" s="1">
        <v>1399.1</v>
      </c>
      <c r="X146" s="1">
        <v>59</v>
      </c>
      <c r="Y146" s="1">
        <v>58</v>
      </c>
      <c r="Z146" s="1">
        <v>1396.55</v>
      </c>
      <c r="AA146" s="1">
        <v>1399.1</v>
      </c>
      <c r="AB146" s="1">
        <v>59</v>
      </c>
      <c r="AC146" s="1">
        <v>58</v>
      </c>
    </row>
    <row r="147" spans="1:29" x14ac:dyDescent="0.2">
      <c r="A147" s="3" t="s">
        <v>93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>
        <v>1473.04</v>
      </c>
      <c r="W147" s="1">
        <v>1488.57</v>
      </c>
      <c r="X147" s="1">
        <v>42</v>
      </c>
      <c r="Y147" s="1">
        <v>36</v>
      </c>
      <c r="Z147" s="1">
        <v>1473.04</v>
      </c>
      <c r="AA147" s="1">
        <v>1488.57</v>
      </c>
      <c r="AB147" s="1">
        <v>42</v>
      </c>
      <c r="AC147" s="1">
        <v>36</v>
      </c>
    </row>
    <row r="148" spans="1:29" x14ac:dyDescent="0.2">
      <c r="A148" s="3" t="s">
        <v>159</v>
      </c>
      <c r="B148" s="1">
        <v>1320.29</v>
      </c>
      <c r="C148" s="1">
        <v>1323.03</v>
      </c>
      <c r="D148" s="1">
        <v>75</v>
      </c>
      <c r="E148" s="1">
        <v>75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>
        <v>1320.29</v>
      </c>
      <c r="AA148" s="1">
        <v>1323.03</v>
      </c>
      <c r="AB148" s="1">
        <v>75</v>
      </c>
      <c r="AC148" s="1">
        <v>75</v>
      </c>
    </row>
    <row r="149" spans="1:29" x14ac:dyDescent="0.2">
      <c r="A149" s="3" t="s">
        <v>398</v>
      </c>
      <c r="B149" s="1">
        <v>866.81</v>
      </c>
      <c r="C149" s="1">
        <v>866.81</v>
      </c>
      <c r="D149" s="1">
        <v>194</v>
      </c>
      <c r="E149" s="1">
        <v>195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>
        <v>866.81</v>
      </c>
      <c r="AA149" s="1">
        <v>866.81</v>
      </c>
      <c r="AB149" s="1">
        <v>194</v>
      </c>
      <c r="AC149" s="1">
        <v>195</v>
      </c>
    </row>
    <row r="150" spans="1:29" x14ac:dyDescent="0.2">
      <c r="A150" s="3" t="s">
        <v>197</v>
      </c>
      <c r="B150" s="1">
        <v>1233.72</v>
      </c>
      <c r="C150" s="1">
        <v>1233.72</v>
      </c>
      <c r="D150" s="1">
        <v>94</v>
      </c>
      <c r="E150" s="1">
        <v>94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>
        <v>1233.72</v>
      </c>
      <c r="AA150" s="1">
        <v>1233.72</v>
      </c>
      <c r="AB150" s="1">
        <v>94</v>
      </c>
      <c r="AC150" s="1">
        <v>94</v>
      </c>
    </row>
    <row r="151" spans="1:29" x14ac:dyDescent="0.2">
      <c r="A151" s="3" t="s">
        <v>129</v>
      </c>
      <c r="B151" s="1"/>
      <c r="C151" s="1"/>
      <c r="D151" s="1"/>
      <c r="E151" s="1"/>
      <c r="F151" s="1"/>
      <c r="G151" s="1"/>
      <c r="H151" s="1"/>
      <c r="I151" s="1"/>
      <c r="J151" s="1">
        <v>1393.28</v>
      </c>
      <c r="K151" s="1">
        <v>1389.27</v>
      </c>
      <c r="L151" s="1">
        <v>60</v>
      </c>
      <c r="M151" s="1">
        <v>61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>
        <v>1393.28</v>
      </c>
      <c r="AA151" s="1">
        <v>1389.27</v>
      </c>
      <c r="AB151" s="1">
        <v>60</v>
      </c>
      <c r="AC151" s="1">
        <v>61</v>
      </c>
    </row>
    <row r="152" spans="1:29" x14ac:dyDescent="0.2">
      <c r="A152" s="3" t="s">
        <v>328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>
        <v>1007.46</v>
      </c>
      <c r="S152" s="1">
        <v>997.6</v>
      </c>
      <c r="T152" s="1">
        <v>159</v>
      </c>
      <c r="U152" s="1">
        <v>161</v>
      </c>
      <c r="V152" s="1"/>
      <c r="W152" s="1"/>
      <c r="X152" s="1"/>
      <c r="Y152" s="1"/>
      <c r="Z152" s="1">
        <v>1007.46</v>
      </c>
      <c r="AA152" s="1">
        <v>997.6</v>
      </c>
      <c r="AB152" s="1">
        <v>159</v>
      </c>
      <c r="AC152" s="1">
        <v>161</v>
      </c>
    </row>
    <row r="153" spans="1:29" x14ac:dyDescent="0.2">
      <c r="A153" s="3" t="s">
        <v>103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>
        <v>1448.77</v>
      </c>
      <c r="O153" s="1">
        <v>1440.13</v>
      </c>
      <c r="P153" s="1">
        <v>47</v>
      </c>
      <c r="Q153" s="1">
        <v>50</v>
      </c>
      <c r="R153" s="1"/>
      <c r="S153" s="1"/>
      <c r="T153" s="1"/>
      <c r="U153" s="1"/>
      <c r="V153" s="1"/>
      <c r="W153" s="1"/>
      <c r="X153" s="1"/>
      <c r="Y153" s="1"/>
      <c r="Z153" s="1">
        <v>1448.77</v>
      </c>
      <c r="AA153" s="1">
        <v>1440.13</v>
      </c>
      <c r="AB153" s="1">
        <v>47</v>
      </c>
      <c r="AC153" s="1">
        <v>50</v>
      </c>
    </row>
    <row r="154" spans="1:29" x14ac:dyDescent="0.2">
      <c r="A154" s="3" t="s">
        <v>55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>
        <v>1561.01</v>
      </c>
      <c r="O154" s="1">
        <v>1562.24</v>
      </c>
      <c r="P154" s="1">
        <v>23</v>
      </c>
      <c r="Q154" s="1">
        <v>21</v>
      </c>
      <c r="R154" s="1"/>
      <c r="S154" s="1"/>
      <c r="T154" s="1"/>
      <c r="U154" s="1"/>
      <c r="V154" s="1"/>
      <c r="W154" s="1"/>
      <c r="X154" s="1"/>
      <c r="Y154" s="1"/>
      <c r="Z154" s="1">
        <v>1561.01</v>
      </c>
      <c r="AA154" s="1">
        <v>1562.24</v>
      </c>
      <c r="AB154" s="1">
        <v>23</v>
      </c>
      <c r="AC154" s="1">
        <v>21</v>
      </c>
    </row>
    <row r="155" spans="1:29" x14ac:dyDescent="0.2">
      <c r="A155" s="3" t="s">
        <v>276</v>
      </c>
      <c r="B155" s="1">
        <v>1115.1300000000001</v>
      </c>
      <c r="C155" s="1">
        <v>1115.1300000000001</v>
      </c>
      <c r="D155" s="1">
        <v>133</v>
      </c>
      <c r="E155" s="1">
        <v>134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>
        <v>1115.1300000000001</v>
      </c>
      <c r="AA155" s="1">
        <v>1115.1300000000001</v>
      </c>
      <c r="AB155" s="1">
        <v>133</v>
      </c>
      <c r="AC155" s="1">
        <v>134</v>
      </c>
    </row>
    <row r="156" spans="1:29" x14ac:dyDescent="0.2">
      <c r="A156" s="3" t="s">
        <v>61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>
        <v>1548.59</v>
      </c>
      <c r="W156" s="1">
        <v>1546.18</v>
      </c>
      <c r="X156" s="1">
        <v>26</v>
      </c>
      <c r="Y156" s="1">
        <v>26</v>
      </c>
      <c r="Z156" s="1">
        <v>1548.59</v>
      </c>
      <c r="AA156" s="1">
        <v>1546.18</v>
      </c>
      <c r="AB156" s="1">
        <v>26</v>
      </c>
      <c r="AC156" s="1">
        <v>26</v>
      </c>
    </row>
    <row r="157" spans="1:29" x14ac:dyDescent="0.2">
      <c r="A157" s="3" t="s">
        <v>25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>
        <v>1676.56</v>
      </c>
      <c r="W157" s="1">
        <v>1678.65</v>
      </c>
      <c r="X157" s="1">
        <v>9</v>
      </c>
      <c r="Y157" s="1">
        <v>9</v>
      </c>
      <c r="Z157" s="1">
        <v>1676.56</v>
      </c>
      <c r="AA157" s="1">
        <v>1678.65</v>
      </c>
      <c r="AB157" s="1">
        <v>9</v>
      </c>
      <c r="AC157" s="1">
        <v>9</v>
      </c>
    </row>
    <row r="158" spans="1:29" x14ac:dyDescent="0.2">
      <c r="A158" s="3" t="s">
        <v>350</v>
      </c>
      <c r="B158" s="1"/>
      <c r="C158" s="1"/>
      <c r="D158" s="1"/>
      <c r="E158" s="1"/>
      <c r="F158" s="1"/>
      <c r="G158" s="1"/>
      <c r="H158" s="1"/>
      <c r="I158" s="1"/>
      <c r="J158" s="1">
        <v>974.32</v>
      </c>
      <c r="K158" s="1">
        <v>974.32</v>
      </c>
      <c r="L158" s="1">
        <v>170</v>
      </c>
      <c r="M158" s="1">
        <v>170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>
        <v>974.32</v>
      </c>
      <c r="AA158" s="1">
        <v>974.32</v>
      </c>
      <c r="AB158" s="1">
        <v>170</v>
      </c>
      <c r="AC158" s="1">
        <v>170</v>
      </c>
    </row>
    <row r="159" spans="1:29" x14ac:dyDescent="0.2">
      <c r="A159" s="3" t="s">
        <v>109</v>
      </c>
      <c r="B159" s="1">
        <v>1439.89</v>
      </c>
      <c r="C159" s="1">
        <v>1441.97</v>
      </c>
      <c r="D159" s="1">
        <v>50</v>
      </c>
      <c r="E159" s="1">
        <v>48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>
        <v>1439.89</v>
      </c>
      <c r="AA159" s="1">
        <v>1441.97</v>
      </c>
      <c r="AB159" s="1">
        <v>50</v>
      </c>
      <c r="AC159" s="1">
        <v>48</v>
      </c>
    </row>
    <row r="160" spans="1:29" x14ac:dyDescent="0.2">
      <c r="A160" s="3" t="s">
        <v>107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>
        <v>1440.19</v>
      </c>
      <c r="W160" s="1">
        <v>1442.48</v>
      </c>
      <c r="X160" s="1">
        <v>49</v>
      </c>
      <c r="Y160" s="1">
        <v>47</v>
      </c>
      <c r="Z160" s="1">
        <v>1440.19</v>
      </c>
      <c r="AA160" s="1">
        <v>1442.48</v>
      </c>
      <c r="AB160" s="1">
        <v>49</v>
      </c>
      <c r="AC160" s="1">
        <v>47</v>
      </c>
    </row>
    <row r="161" spans="1:29" x14ac:dyDescent="0.2">
      <c r="A161" s="3" t="s">
        <v>115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>
        <v>1434.68</v>
      </c>
      <c r="W161" s="1">
        <v>1427.84</v>
      </c>
      <c r="X161" s="1">
        <v>53</v>
      </c>
      <c r="Y161" s="1">
        <v>54</v>
      </c>
      <c r="Z161" s="1">
        <v>1434.68</v>
      </c>
      <c r="AA161" s="1">
        <v>1427.84</v>
      </c>
      <c r="AB161" s="1">
        <v>53</v>
      </c>
      <c r="AC161" s="1">
        <v>54</v>
      </c>
    </row>
    <row r="162" spans="1:29" x14ac:dyDescent="0.2">
      <c r="A162" s="3" t="s">
        <v>75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>
        <v>1496.11</v>
      </c>
      <c r="W162" s="1">
        <v>1493.42</v>
      </c>
      <c r="X162" s="1">
        <v>33</v>
      </c>
      <c r="Y162" s="1">
        <v>35</v>
      </c>
      <c r="Z162" s="1">
        <v>1496.11</v>
      </c>
      <c r="AA162" s="1">
        <v>1493.42</v>
      </c>
      <c r="AB162" s="1">
        <v>33</v>
      </c>
      <c r="AC162" s="1">
        <v>35</v>
      </c>
    </row>
    <row r="163" spans="1:29" x14ac:dyDescent="0.2">
      <c r="A163" s="3" t="s">
        <v>284</v>
      </c>
      <c r="B163" s="1"/>
      <c r="C163" s="1"/>
      <c r="D163" s="1"/>
      <c r="E163" s="1"/>
      <c r="F163" s="1">
        <v>1093.6600000000001</v>
      </c>
      <c r="G163" s="1">
        <v>1095.04</v>
      </c>
      <c r="H163" s="1">
        <v>137</v>
      </c>
      <c r="I163" s="1">
        <v>136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>
        <v>1093.6600000000001</v>
      </c>
      <c r="AA163" s="1">
        <v>1095.04</v>
      </c>
      <c r="AB163" s="1">
        <v>137</v>
      </c>
      <c r="AC163" s="1">
        <v>136</v>
      </c>
    </row>
    <row r="164" spans="1:29" x14ac:dyDescent="0.2">
      <c r="A164" s="3" t="s">
        <v>392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>
        <v>894.26</v>
      </c>
      <c r="S164" s="1">
        <v>894.26</v>
      </c>
      <c r="T164" s="1">
        <v>191</v>
      </c>
      <c r="U164" s="1">
        <v>191</v>
      </c>
      <c r="V164" s="1"/>
      <c r="W164" s="1"/>
      <c r="X164" s="1"/>
      <c r="Y164" s="1"/>
      <c r="Z164" s="1">
        <v>894.26</v>
      </c>
      <c r="AA164" s="1">
        <v>894.26</v>
      </c>
      <c r="AB164" s="1">
        <v>191</v>
      </c>
      <c r="AC164" s="1">
        <v>191</v>
      </c>
    </row>
    <row r="165" spans="1:29" x14ac:dyDescent="0.2">
      <c r="A165" s="3" t="s">
        <v>432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>
        <v>762.22</v>
      </c>
      <c r="W165" s="1">
        <v>763.82</v>
      </c>
      <c r="X165" s="1">
        <v>211</v>
      </c>
      <c r="Y165" s="1">
        <v>211</v>
      </c>
      <c r="Z165" s="1">
        <v>762.22</v>
      </c>
      <c r="AA165" s="1">
        <v>763.82</v>
      </c>
      <c r="AB165" s="1">
        <v>211</v>
      </c>
      <c r="AC165" s="1">
        <v>211</v>
      </c>
    </row>
    <row r="166" spans="1:29" x14ac:dyDescent="0.2">
      <c r="A166" s="3" t="s">
        <v>382</v>
      </c>
      <c r="B166" s="1"/>
      <c r="C166" s="1"/>
      <c r="D166" s="1"/>
      <c r="E166" s="1"/>
      <c r="F166" s="1">
        <v>908.18</v>
      </c>
      <c r="G166" s="1">
        <v>908.18</v>
      </c>
      <c r="H166" s="1">
        <v>186</v>
      </c>
      <c r="I166" s="1">
        <v>187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>
        <v>908.18</v>
      </c>
      <c r="AA166" s="1">
        <v>908.18</v>
      </c>
      <c r="AB166" s="1">
        <v>186</v>
      </c>
      <c r="AC166" s="1">
        <v>187</v>
      </c>
    </row>
    <row r="167" spans="1:29" x14ac:dyDescent="0.2">
      <c r="A167" s="3" t="s">
        <v>111</v>
      </c>
      <c r="B167" s="1">
        <v>1437.78</v>
      </c>
      <c r="C167" s="1">
        <v>1435.74</v>
      </c>
      <c r="D167" s="1">
        <v>51</v>
      </c>
      <c r="E167" s="1">
        <v>53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>
        <v>1437.78</v>
      </c>
      <c r="AA167" s="1">
        <v>1435.74</v>
      </c>
      <c r="AB167" s="1">
        <v>51</v>
      </c>
      <c r="AC167" s="1">
        <v>53</v>
      </c>
    </row>
    <row r="168" spans="1:29" x14ac:dyDescent="0.2">
      <c r="A168" s="3" t="s">
        <v>89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>
        <v>1479.53</v>
      </c>
      <c r="W168" s="1">
        <v>1462.96</v>
      </c>
      <c r="X168" s="1">
        <v>40</v>
      </c>
      <c r="Y168" s="1">
        <v>45</v>
      </c>
      <c r="Z168" s="1">
        <v>1479.53</v>
      </c>
      <c r="AA168" s="1">
        <v>1462.96</v>
      </c>
      <c r="AB168" s="1">
        <v>40</v>
      </c>
      <c r="AC168" s="1">
        <v>45</v>
      </c>
    </row>
    <row r="169" spans="1:29" x14ac:dyDescent="0.2">
      <c r="A169" s="3" t="s">
        <v>43</v>
      </c>
      <c r="B169" s="1"/>
      <c r="C169" s="1"/>
      <c r="D169" s="1"/>
      <c r="E169" s="1"/>
      <c r="F169" s="1">
        <v>1584.38</v>
      </c>
      <c r="G169" s="1">
        <v>1584.59</v>
      </c>
      <c r="H169" s="1">
        <v>18</v>
      </c>
      <c r="I169" s="1">
        <v>18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>
        <v>1584.38</v>
      </c>
      <c r="AA169" s="1">
        <v>1584.59</v>
      </c>
      <c r="AB169" s="1">
        <v>18</v>
      </c>
      <c r="AC169" s="1">
        <v>18</v>
      </c>
    </row>
    <row r="170" spans="1:29" x14ac:dyDescent="0.2">
      <c r="A170" s="3" t="s">
        <v>51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>
        <v>1563.62</v>
      </c>
      <c r="W170" s="1">
        <v>1549.53</v>
      </c>
      <c r="X170" s="1">
        <v>21</v>
      </c>
      <c r="Y170" s="1">
        <v>25</v>
      </c>
      <c r="Z170" s="1">
        <v>1563.62</v>
      </c>
      <c r="AA170" s="1">
        <v>1549.53</v>
      </c>
      <c r="AB170" s="1">
        <v>21</v>
      </c>
      <c r="AC170" s="1">
        <v>25</v>
      </c>
    </row>
    <row r="171" spans="1:29" x14ac:dyDescent="0.2">
      <c r="A171" s="3" t="s">
        <v>408</v>
      </c>
      <c r="B171" s="1"/>
      <c r="C171" s="1"/>
      <c r="D171" s="1"/>
      <c r="E171" s="1"/>
      <c r="F171" s="1">
        <v>859.56</v>
      </c>
      <c r="G171" s="1">
        <v>860.48</v>
      </c>
      <c r="H171" s="1">
        <v>199</v>
      </c>
      <c r="I171" s="1">
        <v>198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>
        <v>859.56</v>
      </c>
      <c r="AA171" s="1">
        <v>860.48</v>
      </c>
      <c r="AB171" s="1">
        <v>199</v>
      </c>
      <c r="AC171" s="1">
        <v>198</v>
      </c>
    </row>
    <row r="172" spans="1:29" x14ac:dyDescent="0.2">
      <c r="A172" s="3" t="s">
        <v>244</v>
      </c>
      <c r="B172" s="1"/>
      <c r="C172" s="1"/>
      <c r="D172" s="1"/>
      <c r="E172" s="1"/>
      <c r="F172" s="1">
        <v>1160.31</v>
      </c>
      <c r="G172" s="1">
        <v>1169.71</v>
      </c>
      <c r="H172" s="1">
        <v>117</v>
      </c>
      <c r="I172" s="1">
        <v>113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>
        <v>1160.31</v>
      </c>
      <c r="AA172" s="1">
        <v>1169.71</v>
      </c>
      <c r="AB172" s="1">
        <v>117</v>
      </c>
      <c r="AC172" s="1">
        <v>113</v>
      </c>
    </row>
    <row r="173" spans="1:29" x14ac:dyDescent="0.2">
      <c r="A173" s="3" t="s">
        <v>330</v>
      </c>
      <c r="B173" s="1">
        <v>1003.5</v>
      </c>
      <c r="C173" s="1">
        <v>1004.75</v>
      </c>
      <c r="D173" s="1">
        <v>160</v>
      </c>
      <c r="E173" s="1">
        <v>159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>
        <v>1003.5</v>
      </c>
      <c r="AA173" s="1">
        <v>1004.75</v>
      </c>
      <c r="AB173" s="1">
        <v>160</v>
      </c>
      <c r="AC173" s="1">
        <v>159</v>
      </c>
    </row>
    <row r="174" spans="1:29" x14ac:dyDescent="0.2">
      <c r="A174" s="3" t="s">
        <v>119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>
        <v>1425.59</v>
      </c>
      <c r="W174" s="1">
        <v>1439.99</v>
      </c>
      <c r="X174" s="1">
        <v>55</v>
      </c>
      <c r="Y174" s="1">
        <v>51</v>
      </c>
      <c r="Z174" s="1">
        <v>1425.59</v>
      </c>
      <c r="AA174" s="1">
        <v>1439.99</v>
      </c>
      <c r="AB174" s="1">
        <v>55</v>
      </c>
      <c r="AC174" s="1">
        <v>51</v>
      </c>
    </row>
    <row r="175" spans="1:29" x14ac:dyDescent="0.2">
      <c r="A175" s="3" t="s">
        <v>135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>
        <v>1384.04</v>
      </c>
      <c r="W175" s="1">
        <v>1372.48</v>
      </c>
      <c r="X175" s="1">
        <v>63</v>
      </c>
      <c r="Y175" s="1">
        <v>65</v>
      </c>
      <c r="Z175" s="1">
        <v>1384.04</v>
      </c>
      <c r="AA175" s="1">
        <v>1372.48</v>
      </c>
      <c r="AB175" s="1">
        <v>63</v>
      </c>
      <c r="AC175" s="1">
        <v>65</v>
      </c>
    </row>
    <row r="176" spans="1:29" x14ac:dyDescent="0.2">
      <c r="A176" s="3" t="s">
        <v>282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>
        <v>1095.7</v>
      </c>
      <c r="S176" s="1">
        <v>1092.56</v>
      </c>
      <c r="T176" s="1">
        <v>136</v>
      </c>
      <c r="U176" s="1">
        <v>137</v>
      </c>
      <c r="V176" s="1"/>
      <c r="W176" s="1"/>
      <c r="X176" s="1"/>
      <c r="Y176" s="1"/>
      <c r="Z176" s="1">
        <v>1095.7</v>
      </c>
      <c r="AA176" s="1">
        <v>1092.56</v>
      </c>
      <c r="AB176" s="1">
        <v>136</v>
      </c>
      <c r="AC176" s="1">
        <v>137</v>
      </c>
    </row>
    <row r="177" spans="1:29" x14ac:dyDescent="0.2">
      <c r="A177" s="3" t="s">
        <v>416</v>
      </c>
      <c r="B177" s="1"/>
      <c r="C177" s="1"/>
      <c r="D177" s="1"/>
      <c r="E177" s="1"/>
      <c r="F177" s="1">
        <v>854.72</v>
      </c>
      <c r="G177" s="1">
        <v>854.72</v>
      </c>
      <c r="H177" s="1">
        <v>203</v>
      </c>
      <c r="I177" s="1">
        <v>204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>
        <v>854.72</v>
      </c>
      <c r="AA177" s="1">
        <v>854.72</v>
      </c>
      <c r="AB177" s="1">
        <v>203</v>
      </c>
      <c r="AC177" s="1">
        <v>204</v>
      </c>
    </row>
    <row r="178" spans="1:29" x14ac:dyDescent="0.2">
      <c r="A178" s="3" t="s">
        <v>143</v>
      </c>
      <c r="B178" s="1"/>
      <c r="C178" s="1"/>
      <c r="D178" s="1"/>
      <c r="E178" s="1"/>
      <c r="F178" s="1">
        <v>1349.59</v>
      </c>
      <c r="G178" s="1">
        <v>1350.55</v>
      </c>
      <c r="H178" s="1">
        <v>67</v>
      </c>
      <c r="I178" s="1">
        <v>68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>
        <v>1349.59</v>
      </c>
      <c r="AA178" s="1">
        <v>1350.55</v>
      </c>
      <c r="AB178" s="1">
        <v>67</v>
      </c>
      <c r="AC178" s="1">
        <v>68</v>
      </c>
    </row>
    <row r="179" spans="1:29" x14ac:dyDescent="0.2">
      <c r="A179" s="3" t="s">
        <v>340</v>
      </c>
      <c r="B179" s="1"/>
      <c r="C179" s="1"/>
      <c r="D179" s="1"/>
      <c r="E179" s="1"/>
      <c r="F179" s="1">
        <v>983.99</v>
      </c>
      <c r="G179" s="1">
        <v>983.99</v>
      </c>
      <c r="H179" s="1">
        <v>165</v>
      </c>
      <c r="I179" s="1">
        <v>165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>
        <v>983.99</v>
      </c>
      <c r="AA179" s="1">
        <v>983.99</v>
      </c>
      <c r="AB179" s="1">
        <v>165</v>
      </c>
      <c r="AC179" s="1">
        <v>165</v>
      </c>
    </row>
    <row r="180" spans="1:29" x14ac:dyDescent="0.2">
      <c r="A180" s="3" t="s">
        <v>21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>
        <v>1715.22</v>
      </c>
      <c r="W180" s="1">
        <v>1716.93</v>
      </c>
      <c r="X180" s="1">
        <v>7</v>
      </c>
      <c r="Y180" s="1">
        <v>6</v>
      </c>
      <c r="Z180" s="1">
        <v>1715.22</v>
      </c>
      <c r="AA180" s="1">
        <v>1716.93</v>
      </c>
      <c r="AB180" s="1">
        <v>7</v>
      </c>
      <c r="AC180" s="1">
        <v>6</v>
      </c>
    </row>
    <row r="181" spans="1:29" x14ac:dyDescent="0.2">
      <c r="A181" s="3" t="s">
        <v>424</v>
      </c>
      <c r="B181" s="1">
        <v>825.25</v>
      </c>
      <c r="C181" s="1">
        <v>825.25</v>
      </c>
      <c r="D181" s="1">
        <v>207</v>
      </c>
      <c r="E181" s="1">
        <v>207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>
        <v>825.25</v>
      </c>
      <c r="AA181" s="1">
        <v>825.25</v>
      </c>
      <c r="AB181" s="1">
        <v>207</v>
      </c>
      <c r="AC181" s="1">
        <v>207</v>
      </c>
    </row>
    <row r="182" spans="1:29" x14ac:dyDescent="0.2">
      <c r="A182" s="3" t="s">
        <v>290</v>
      </c>
      <c r="B182" s="1"/>
      <c r="C182" s="1"/>
      <c r="D182" s="1"/>
      <c r="E182" s="1"/>
      <c r="F182" s="1"/>
      <c r="G182" s="1"/>
      <c r="H182" s="1"/>
      <c r="I182" s="1"/>
      <c r="J182" s="1">
        <v>1076.9100000000001</v>
      </c>
      <c r="K182" s="1">
        <v>1076.9100000000001</v>
      </c>
      <c r="L182" s="1">
        <v>140</v>
      </c>
      <c r="M182" s="1">
        <v>140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>
        <v>1076.9100000000001</v>
      </c>
      <c r="AA182" s="1">
        <v>1076.9100000000001</v>
      </c>
      <c r="AB182" s="1">
        <v>140</v>
      </c>
      <c r="AC182" s="1">
        <v>140</v>
      </c>
    </row>
    <row r="183" spans="1:29" x14ac:dyDescent="0.2">
      <c r="A183" s="3" t="s">
        <v>354</v>
      </c>
      <c r="B183" s="1"/>
      <c r="C183" s="1"/>
      <c r="D183" s="1"/>
      <c r="E183" s="1"/>
      <c r="F183" s="1"/>
      <c r="G183" s="1"/>
      <c r="H183" s="1"/>
      <c r="I183" s="1"/>
      <c r="J183" s="1">
        <v>965.66</v>
      </c>
      <c r="K183" s="1">
        <v>965.66</v>
      </c>
      <c r="L183" s="1">
        <v>172</v>
      </c>
      <c r="M183" s="1">
        <v>173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>
        <v>965.66</v>
      </c>
      <c r="AA183" s="1">
        <v>965.66</v>
      </c>
      <c r="AB183" s="1">
        <v>172</v>
      </c>
      <c r="AC183" s="1">
        <v>173</v>
      </c>
    </row>
    <row r="184" spans="1:29" x14ac:dyDescent="0.2">
      <c r="A184" s="3" t="s">
        <v>366</v>
      </c>
      <c r="B184" s="1"/>
      <c r="C184" s="1"/>
      <c r="D184" s="1"/>
      <c r="E184" s="1"/>
      <c r="F184" s="1"/>
      <c r="G184" s="1"/>
      <c r="H184" s="1"/>
      <c r="I184" s="1"/>
      <c r="J184" s="1">
        <v>945.25</v>
      </c>
      <c r="K184" s="1">
        <v>939.97</v>
      </c>
      <c r="L184" s="1">
        <v>178</v>
      </c>
      <c r="M184" s="1">
        <v>179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>
        <v>945.25</v>
      </c>
      <c r="AA184" s="1">
        <v>939.97</v>
      </c>
      <c r="AB184" s="1">
        <v>178</v>
      </c>
      <c r="AC184" s="1">
        <v>179</v>
      </c>
    </row>
    <row r="185" spans="1:29" x14ac:dyDescent="0.2">
      <c r="A185" s="3" t="s">
        <v>266</v>
      </c>
      <c r="B185" s="1"/>
      <c r="C185" s="1"/>
      <c r="D185" s="1"/>
      <c r="E185" s="1"/>
      <c r="F185" s="1">
        <v>1127.3399999999999</v>
      </c>
      <c r="G185" s="1">
        <v>1124.9100000000001</v>
      </c>
      <c r="H185" s="1">
        <v>128</v>
      </c>
      <c r="I185" s="1">
        <v>130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>
        <v>1127.3399999999999</v>
      </c>
      <c r="AA185" s="1">
        <v>1124.9100000000001</v>
      </c>
      <c r="AB185" s="1">
        <v>128</v>
      </c>
      <c r="AC185" s="1">
        <v>130</v>
      </c>
    </row>
    <row r="186" spans="1:29" x14ac:dyDescent="0.2">
      <c r="A186" s="3" t="s">
        <v>288</v>
      </c>
      <c r="B186" s="1"/>
      <c r="C186" s="1"/>
      <c r="D186" s="1"/>
      <c r="E186" s="1"/>
      <c r="F186" s="1"/>
      <c r="G186" s="1"/>
      <c r="H186" s="1"/>
      <c r="I186" s="1"/>
      <c r="J186" s="1">
        <v>1077.3</v>
      </c>
      <c r="K186" s="1">
        <v>1072.24</v>
      </c>
      <c r="L186" s="1">
        <v>139</v>
      </c>
      <c r="M186" s="1">
        <v>143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>
        <v>1077.3</v>
      </c>
      <c r="AA186" s="1">
        <v>1072.24</v>
      </c>
      <c r="AB186" s="1">
        <v>139</v>
      </c>
      <c r="AC186" s="1">
        <v>143</v>
      </c>
    </row>
    <row r="187" spans="1:29" x14ac:dyDescent="0.2">
      <c r="A187" s="3" t="s">
        <v>59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>
        <v>1553.33</v>
      </c>
      <c r="W187" s="1">
        <v>1563.44</v>
      </c>
      <c r="X187" s="1">
        <v>25</v>
      </c>
      <c r="Y187" s="1">
        <v>20</v>
      </c>
      <c r="Z187" s="1">
        <v>1553.33</v>
      </c>
      <c r="AA187" s="1">
        <v>1563.44</v>
      </c>
      <c r="AB187" s="1">
        <v>25</v>
      </c>
      <c r="AC187" s="1">
        <v>20</v>
      </c>
    </row>
    <row r="188" spans="1:29" x14ac:dyDescent="0.2">
      <c r="A188" s="3" t="s">
        <v>38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>
        <v>1635.92</v>
      </c>
      <c r="W188" s="1">
        <v>1621.43</v>
      </c>
      <c r="X188" s="1">
        <v>15</v>
      </c>
      <c r="Y188" s="1">
        <v>16</v>
      </c>
      <c r="Z188" s="1">
        <v>1635.92</v>
      </c>
      <c r="AA188" s="1">
        <v>1621.43</v>
      </c>
      <c r="AB188" s="1">
        <v>15</v>
      </c>
      <c r="AC188" s="1">
        <v>16</v>
      </c>
    </row>
    <row r="189" spans="1:29" x14ac:dyDescent="0.2">
      <c r="A189" s="3" t="s">
        <v>189</v>
      </c>
      <c r="B189" s="1">
        <v>1255.92</v>
      </c>
      <c r="C189" s="1">
        <v>1265.03</v>
      </c>
      <c r="D189" s="1">
        <v>90</v>
      </c>
      <c r="E189" s="1">
        <v>89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>
        <v>1255.92</v>
      </c>
      <c r="AA189" s="1">
        <v>1265.03</v>
      </c>
      <c r="AB189" s="1">
        <v>90</v>
      </c>
      <c r="AC189" s="1">
        <v>89</v>
      </c>
    </row>
    <row r="190" spans="1:29" x14ac:dyDescent="0.2">
      <c r="A190" s="3" t="s">
        <v>334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>
        <v>995.11</v>
      </c>
      <c r="S190" s="1">
        <v>995.11</v>
      </c>
      <c r="T190" s="1">
        <v>162</v>
      </c>
      <c r="U190" s="1">
        <v>162</v>
      </c>
      <c r="V190" s="1"/>
      <c r="W190" s="1"/>
      <c r="X190" s="1"/>
      <c r="Y190" s="1"/>
      <c r="Z190" s="1">
        <v>995.11</v>
      </c>
      <c r="AA190" s="1">
        <v>995.11</v>
      </c>
      <c r="AB190" s="1">
        <v>162</v>
      </c>
      <c r="AC190" s="1">
        <v>162</v>
      </c>
    </row>
    <row r="191" spans="1:29" x14ac:dyDescent="0.2">
      <c r="A191" s="3" t="s">
        <v>226</v>
      </c>
      <c r="B191" s="1">
        <v>1185.7</v>
      </c>
      <c r="C191" s="1">
        <v>1179.0999999999999</v>
      </c>
      <c r="D191" s="1">
        <v>108</v>
      </c>
      <c r="E191" s="1">
        <v>109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>
        <v>1185.7</v>
      </c>
      <c r="AA191" s="1">
        <v>1179.0999999999999</v>
      </c>
      <c r="AB191" s="1">
        <v>108</v>
      </c>
      <c r="AC191" s="1">
        <v>109</v>
      </c>
    </row>
    <row r="192" spans="1:29" x14ac:dyDescent="0.2">
      <c r="A192" s="3" t="s">
        <v>270</v>
      </c>
      <c r="B192" s="1"/>
      <c r="C192" s="1"/>
      <c r="D192" s="1"/>
      <c r="E192" s="1"/>
      <c r="F192" s="1">
        <v>1119.8900000000001</v>
      </c>
      <c r="G192" s="1">
        <v>1121.9100000000001</v>
      </c>
      <c r="H192" s="1">
        <v>130</v>
      </c>
      <c r="I192" s="1">
        <v>131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>
        <v>1119.8900000000001</v>
      </c>
      <c r="AA192" s="1">
        <v>1121.9100000000001</v>
      </c>
      <c r="AB192" s="1">
        <v>130</v>
      </c>
      <c r="AC192" s="1">
        <v>131</v>
      </c>
    </row>
    <row r="193" spans="1:29" x14ac:dyDescent="0.2">
      <c r="A193" s="3" t="s">
        <v>232</v>
      </c>
      <c r="B193" s="1">
        <v>1174.92</v>
      </c>
      <c r="C193" s="1">
        <v>1170.69</v>
      </c>
      <c r="D193" s="1">
        <v>111</v>
      </c>
      <c r="E193" s="1">
        <v>111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>
        <v>1174.92</v>
      </c>
      <c r="AA193" s="1">
        <v>1170.69</v>
      </c>
      <c r="AB193" s="1">
        <v>111</v>
      </c>
      <c r="AC193" s="1">
        <v>111</v>
      </c>
    </row>
    <row r="194" spans="1:29" x14ac:dyDescent="0.2">
      <c r="A194" s="3" t="s">
        <v>262</v>
      </c>
      <c r="B194" s="1"/>
      <c r="C194" s="1"/>
      <c r="D194" s="1"/>
      <c r="E194" s="1"/>
      <c r="F194" s="1">
        <v>1137.47</v>
      </c>
      <c r="G194" s="1">
        <v>1137.47</v>
      </c>
      <c r="H194" s="1">
        <v>126</v>
      </c>
      <c r="I194" s="1">
        <v>124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>
        <v>1137.47</v>
      </c>
      <c r="AA194" s="1">
        <v>1137.47</v>
      </c>
      <c r="AB194" s="1">
        <v>126</v>
      </c>
      <c r="AC194" s="1">
        <v>124</v>
      </c>
    </row>
    <row r="195" spans="1:29" x14ac:dyDescent="0.2">
      <c r="A195" s="3" t="s">
        <v>406</v>
      </c>
      <c r="B195" s="1">
        <v>860.06</v>
      </c>
      <c r="C195" s="1">
        <v>860.06</v>
      </c>
      <c r="D195" s="1">
        <v>198</v>
      </c>
      <c r="E195" s="1">
        <v>199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>
        <v>860.06</v>
      </c>
      <c r="AA195" s="1">
        <v>860.06</v>
      </c>
      <c r="AB195" s="1">
        <v>198</v>
      </c>
      <c r="AC195" s="1">
        <v>199</v>
      </c>
    </row>
    <row r="196" spans="1:29" x14ac:dyDescent="0.2">
      <c r="A196" s="3" t="s">
        <v>264</v>
      </c>
      <c r="B196" s="1"/>
      <c r="C196" s="1"/>
      <c r="D196" s="1"/>
      <c r="E196" s="1"/>
      <c r="F196" s="1">
        <v>1128.92</v>
      </c>
      <c r="G196" s="1">
        <v>1130.22</v>
      </c>
      <c r="H196" s="1">
        <v>127</v>
      </c>
      <c r="I196" s="1">
        <v>126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>
        <v>1128.92</v>
      </c>
      <c r="AA196" s="1">
        <v>1130.22</v>
      </c>
      <c r="AB196" s="1">
        <v>127</v>
      </c>
      <c r="AC196" s="1">
        <v>126</v>
      </c>
    </row>
    <row r="197" spans="1:29" x14ac:dyDescent="0.2">
      <c r="A197" s="3" t="s">
        <v>404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>
        <v>861.81</v>
      </c>
      <c r="S197" s="1">
        <v>861.81</v>
      </c>
      <c r="T197" s="1">
        <v>197</v>
      </c>
      <c r="U197" s="1">
        <v>197</v>
      </c>
      <c r="V197" s="1"/>
      <c r="W197" s="1"/>
      <c r="X197" s="1"/>
      <c r="Y197" s="1"/>
      <c r="Z197" s="1">
        <v>861.81</v>
      </c>
      <c r="AA197" s="1">
        <v>861.81</v>
      </c>
      <c r="AB197" s="1">
        <v>197</v>
      </c>
      <c r="AC197" s="1">
        <v>197</v>
      </c>
    </row>
    <row r="198" spans="1:29" x14ac:dyDescent="0.2">
      <c r="A198" s="3" t="s">
        <v>217</v>
      </c>
      <c r="B198" s="1"/>
      <c r="C198" s="1"/>
      <c r="D198" s="1"/>
      <c r="E198" s="1"/>
      <c r="F198" s="1"/>
      <c r="G198" s="1"/>
      <c r="H198" s="1"/>
      <c r="I198" s="1"/>
      <c r="J198" s="1">
        <v>1195.29</v>
      </c>
      <c r="K198" s="1">
        <v>1205.8499999999999</v>
      </c>
      <c r="L198" s="1">
        <v>104</v>
      </c>
      <c r="M198" s="1">
        <v>101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>
        <v>1195.29</v>
      </c>
      <c r="AA198" s="1">
        <v>1205.8499999999999</v>
      </c>
      <c r="AB198" s="1">
        <v>104</v>
      </c>
      <c r="AC198" s="1">
        <v>101</v>
      </c>
    </row>
    <row r="199" spans="1:29" x14ac:dyDescent="0.2">
      <c r="A199" s="3" t="s">
        <v>69</v>
      </c>
      <c r="B199" s="1"/>
      <c r="C199" s="1"/>
      <c r="D199" s="1"/>
      <c r="E199" s="1"/>
      <c r="F199" s="1">
        <v>1507.54</v>
      </c>
      <c r="G199" s="1">
        <v>1507.86</v>
      </c>
      <c r="H199" s="1">
        <v>30</v>
      </c>
      <c r="I199" s="1">
        <v>30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>
        <v>1507.54</v>
      </c>
      <c r="AA199" s="1">
        <v>1507.86</v>
      </c>
      <c r="AB199" s="1">
        <v>30</v>
      </c>
      <c r="AC199" s="1">
        <v>30</v>
      </c>
    </row>
    <row r="200" spans="1:29" x14ac:dyDescent="0.2">
      <c r="A200" s="3" t="s">
        <v>99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>
        <v>1460.14</v>
      </c>
      <c r="W200" s="1">
        <v>1475.13</v>
      </c>
      <c r="X200" s="1">
        <v>45</v>
      </c>
      <c r="Y200" s="1">
        <v>42</v>
      </c>
      <c r="Z200" s="1">
        <v>1460.14</v>
      </c>
      <c r="AA200" s="1">
        <v>1475.13</v>
      </c>
      <c r="AB200" s="1">
        <v>45</v>
      </c>
      <c r="AC200" s="1">
        <v>42</v>
      </c>
    </row>
    <row r="201" spans="1:29" x14ac:dyDescent="0.2">
      <c r="A201" s="3" t="s">
        <v>280</v>
      </c>
      <c r="B201" s="1">
        <v>1100.47</v>
      </c>
      <c r="C201" s="1">
        <v>1100.47</v>
      </c>
      <c r="D201" s="1">
        <v>135</v>
      </c>
      <c r="E201" s="1">
        <v>135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>
        <v>1100.47</v>
      </c>
      <c r="AA201" s="1">
        <v>1100.47</v>
      </c>
      <c r="AB201" s="1">
        <v>135</v>
      </c>
      <c r="AC201" s="1">
        <v>135</v>
      </c>
    </row>
    <row r="202" spans="1:29" x14ac:dyDescent="0.2">
      <c r="A202" s="3" t="s">
        <v>422</v>
      </c>
      <c r="B202" s="1"/>
      <c r="C202" s="1"/>
      <c r="D202" s="1"/>
      <c r="E202" s="1"/>
      <c r="F202" s="1"/>
      <c r="G202" s="1"/>
      <c r="H202" s="1"/>
      <c r="I202" s="1"/>
      <c r="J202" s="1">
        <v>832</v>
      </c>
      <c r="K202" s="1">
        <v>832</v>
      </c>
      <c r="L202" s="1">
        <v>206</v>
      </c>
      <c r="M202" s="1">
        <v>206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>
        <v>832</v>
      </c>
      <c r="AA202" s="1">
        <v>832</v>
      </c>
      <c r="AB202" s="1">
        <v>206</v>
      </c>
      <c r="AC202" s="1">
        <v>206</v>
      </c>
    </row>
    <row r="203" spans="1:29" x14ac:dyDescent="0.2">
      <c r="A203" s="3" t="s">
        <v>187</v>
      </c>
      <c r="B203" s="1"/>
      <c r="C203" s="1"/>
      <c r="D203" s="1"/>
      <c r="E203" s="1"/>
      <c r="F203" s="1">
        <v>1260.69</v>
      </c>
      <c r="G203" s="1">
        <v>1264.56</v>
      </c>
      <c r="H203" s="1">
        <v>89</v>
      </c>
      <c r="I203" s="1">
        <v>90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>
        <v>1260.69</v>
      </c>
      <c r="AA203" s="1">
        <v>1264.56</v>
      </c>
      <c r="AB203" s="1">
        <v>89</v>
      </c>
      <c r="AC203" s="1">
        <v>90</v>
      </c>
    </row>
    <row r="204" spans="1:29" x14ac:dyDescent="0.2">
      <c r="A204" s="3" t="s">
        <v>63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>
        <v>1536.99</v>
      </c>
      <c r="W204" s="1">
        <v>1542.79</v>
      </c>
      <c r="X204" s="1">
        <v>27</v>
      </c>
      <c r="Y204" s="1">
        <v>27</v>
      </c>
      <c r="Z204" s="1">
        <v>1536.99</v>
      </c>
      <c r="AA204" s="1">
        <v>1542.79</v>
      </c>
      <c r="AB204" s="1">
        <v>27</v>
      </c>
      <c r="AC204" s="1">
        <v>27</v>
      </c>
    </row>
    <row r="205" spans="1:29" x14ac:dyDescent="0.2">
      <c r="A205" s="3" t="s">
        <v>149</v>
      </c>
      <c r="B205" s="1">
        <v>1337.57</v>
      </c>
      <c r="C205" s="1">
        <v>1346.09</v>
      </c>
      <c r="D205" s="1">
        <v>70</v>
      </c>
      <c r="E205" s="1">
        <v>69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>
        <v>1337.57</v>
      </c>
      <c r="AA205" s="1">
        <v>1346.09</v>
      </c>
      <c r="AB205" s="1">
        <v>70</v>
      </c>
      <c r="AC205" s="1">
        <v>69</v>
      </c>
    </row>
    <row r="206" spans="1:29" x14ac:dyDescent="0.2">
      <c r="A206" s="3" t="s">
        <v>36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>
        <v>1638.71</v>
      </c>
      <c r="O206" s="1">
        <v>1640.95</v>
      </c>
      <c r="P206" s="1">
        <v>14</v>
      </c>
      <c r="Q206" s="1">
        <v>13</v>
      </c>
      <c r="R206" s="1"/>
      <c r="S206" s="1"/>
      <c r="T206" s="1"/>
      <c r="U206" s="1"/>
      <c r="V206" s="1"/>
      <c r="W206" s="1"/>
      <c r="X206" s="1"/>
      <c r="Y206" s="1"/>
      <c r="Z206" s="1">
        <v>1638.71</v>
      </c>
      <c r="AA206" s="1">
        <v>1640.95</v>
      </c>
      <c r="AB206" s="1">
        <v>14</v>
      </c>
      <c r="AC206" s="1">
        <v>13</v>
      </c>
    </row>
    <row r="207" spans="1:29" x14ac:dyDescent="0.2">
      <c r="A207" s="3" t="s">
        <v>426</v>
      </c>
      <c r="B207" s="1"/>
      <c r="C207" s="1"/>
      <c r="D207" s="1"/>
      <c r="E207" s="1"/>
      <c r="F207" s="1"/>
      <c r="G207" s="1"/>
      <c r="H207" s="1"/>
      <c r="I207" s="1"/>
      <c r="J207" s="1">
        <v>823.97</v>
      </c>
      <c r="K207" s="1">
        <v>823.97</v>
      </c>
      <c r="L207" s="1">
        <v>208</v>
      </c>
      <c r="M207" s="1">
        <v>208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>
        <v>823.97</v>
      </c>
      <c r="AA207" s="1">
        <v>823.97</v>
      </c>
      <c r="AB207" s="1">
        <v>208</v>
      </c>
      <c r="AC207" s="1">
        <v>208</v>
      </c>
    </row>
    <row r="208" spans="1:29" x14ac:dyDescent="0.2">
      <c r="A208" s="3" t="s">
        <v>40</v>
      </c>
      <c r="B208" s="1"/>
      <c r="C208" s="1"/>
      <c r="D208" s="1"/>
      <c r="E208" s="1"/>
      <c r="F208" s="1"/>
      <c r="G208" s="1"/>
      <c r="H208" s="1"/>
      <c r="I208" s="1"/>
      <c r="J208" s="1">
        <v>1627.48</v>
      </c>
      <c r="K208" s="1">
        <v>1635.01</v>
      </c>
      <c r="L208" s="1">
        <v>16</v>
      </c>
      <c r="M208" s="1">
        <v>14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>
        <v>1627.48</v>
      </c>
      <c r="AA208" s="1">
        <v>1635.01</v>
      </c>
      <c r="AB208" s="1">
        <v>16</v>
      </c>
      <c r="AC208" s="1">
        <v>14</v>
      </c>
    </row>
    <row r="209" spans="1:29" x14ac:dyDescent="0.2">
      <c r="A209" s="3" t="s">
        <v>163</v>
      </c>
      <c r="B209" s="1">
        <v>1309.98</v>
      </c>
      <c r="C209" s="1">
        <v>1306.6300000000001</v>
      </c>
      <c r="D209" s="1">
        <v>77</v>
      </c>
      <c r="E209" s="1">
        <v>77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>
        <v>1309.98</v>
      </c>
      <c r="AA209" s="1">
        <v>1306.6300000000001</v>
      </c>
      <c r="AB209" s="1">
        <v>77</v>
      </c>
      <c r="AC209" s="1">
        <v>77</v>
      </c>
    </row>
    <row r="210" spans="1:29" x14ac:dyDescent="0.2">
      <c r="A210" s="3" t="s">
        <v>338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>
        <v>985.62</v>
      </c>
      <c r="S210" s="1">
        <v>990.55</v>
      </c>
      <c r="T210" s="1">
        <v>164</v>
      </c>
      <c r="U210" s="1">
        <v>164</v>
      </c>
      <c r="V210" s="1"/>
      <c r="W210" s="1"/>
      <c r="X210" s="1"/>
      <c r="Y210" s="1"/>
      <c r="Z210" s="1">
        <v>985.62</v>
      </c>
      <c r="AA210" s="1">
        <v>990.55</v>
      </c>
      <c r="AB210" s="1">
        <v>164</v>
      </c>
      <c r="AC210" s="1">
        <v>164</v>
      </c>
    </row>
    <row r="211" spans="1:29" x14ac:dyDescent="0.2">
      <c r="A211" s="3" t="s">
        <v>123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>
        <v>1404.37</v>
      </c>
      <c r="O211" s="1">
        <v>1405.17</v>
      </c>
      <c r="P211" s="1">
        <v>57</v>
      </c>
      <c r="Q211" s="1">
        <v>56</v>
      </c>
      <c r="R211" s="1"/>
      <c r="S211" s="1"/>
      <c r="T211" s="1"/>
      <c r="U211" s="1"/>
      <c r="V211" s="1"/>
      <c r="W211" s="1"/>
      <c r="X211" s="1"/>
      <c r="Y211" s="1"/>
      <c r="Z211" s="1">
        <v>1404.37</v>
      </c>
      <c r="AA211" s="1">
        <v>1405.17</v>
      </c>
      <c r="AB211" s="1">
        <v>57</v>
      </c>
      <c r="AC211" s="1">
        <v>56</v>
      </c>
    </row>
    <row r="212" spans="1:29" x14ac:dyDescent="0.2">
      <c r="A212" s="3" t="s">
        <v>201</v>
      </c>
      <c r="B212" s="1">
        <v>1226.6500000000001</v>
      </c>
      <c r="C212" s="1">
        <v>1218.8399999999999</v>
      </c>
      <c r="D212" s="1">
        <v>96</v>
      </c>
      <c r="E212" s="1">
        <v>97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>
        <v>1226.6500000000001</v>
      </c>
      <c r="AA212" s="1">
        <v>1218.8399999999999</v>
      </c>
      <c r="AB212" s="1">
        <v>96</v>
      </c>
      <c r="AC212" s="1">
        <v>97</v>
      </c>
    </row>
    <row r="213" spans="1:29" x14ac:dyDescent="0.2">
      <c r="A213" s="3" t="s">
        <v>46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>
        <v>1569.82</v>
      </c>
      <c r="W213" s="1">
        <v>1582.13</v>
      </c>
      <c r="X213" s="1">
        <v>19</v>
      </c>
      <c r="Y213" s="1">
        <v>19</v>
      </c>
      <c r="Z213" s="1">
        <v>1569.82</v>
      </c>
      <c r="AA213" s="1">
        <v>1582.13</v>
      </c>
      <c r="AB213" s="1">
        <v>19</v>
      </c>
      <c r="AC213" s="1">
        <v>19</v>
      </c>
    </row>
    <row r="214" spans="1:29" x14ac:dyDescent="0.2">
      <c r="A214" s="3" t="s">
        <v>320</v>
      </c>
      <c r="B214" s="1">
        <v>1023.52</v>
      </c>
      <c r="C214" s="1">
        <v>1023.52</v>
      </c>
      <c r="D214" s="1">
        <v>155</v>
      </c>
      <c r="E214" s="1">
        <v>153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>
        <v>1023.52</v>
      </c>
      <c r="AA214" s="1">
        <v>1023.52</v>
      </c>
      <c r="AB214" s="1">
        <v>155</v>
      </c>
      <c r="AC214" s="1">
        <v>153</v>
      </c>
    </row>
    <row r="215" spans="1:29" x14ac:dyDescent="0.2">
      <c r="A215" s="3" t="s">
        <v>185</v>
      </c>
      <c r="B215" s="1"/>
      <c r="C215" s="1"/>
      <c r="D215" s="1"/>
      <c r="E215" s="1"/>
      <c r="F215" s="1">
        <v>1267.4100000000001</v>
      </c>
      <c r="G215" s="1">
        <v>1270.8</v>
      </c>
      <c r="H215" s="1">
        <v>88</v>
      </c>
      <c r="I215" s="1">
        <v>87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>
        <v>1267.4100000000001</v>
      </c>
      <c r="AA215" s="1">
        <v>1270.8</v>
      </c>
      <c r="AB215" s="1">
        <v>88</v>
      </c>
      <c r="AC215" s="1">
        <v>87</v>
      </c>
    </row>
    <row r="216" spans="1:29" x14ac:dyDescent="0.2">
      <c r="A216" s="3" t="s">
        <v>260</v>
      </c>
      <c r="B216" s="1"/>
      <c r="C216" s="1"/>
      <c r="D216" s="1"/>
      <c r="E216" s="1"/>
      <c r="F216" s="1">
        <v>1138.56</v>
      </c>
      <c r="G216" s="1">
        <v>1138.56</v>
      </c>
      <c r="H216" s="1">
        <v>125</v>
      </c>
      <c r="I216" s="1">
        <v>123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>
        <v>1138.56</v>
      </c>
      <c r="AA216" s="1">
        <v>1138.56</v>
      </c>
      <c r="AB216" s="1">
        <v>125</v>
      </c>
      <c r="AC216" s="1">
        <v>123</v>
      </c>
    </row>
    <row r="217" spans="1:29" x14ac:dyDescent="0.2">
      <c r="A217" s="3" t="s">
        <v>441</v>
      </c>
      <c r="B217" s="1">
        <v>52346.619999999981</v>
      </c>
      <c r="C217" s="1">
        <v>52310.269999999982</v>
      </c>
      <c r="D217" s="1">
        <v>5735</v>
      </c>
      <c r="E217" s="1">
        <v>5743</v>
      </c>
      <c r="F217" s="1">
        <v>64579.939999999988</v>
      </c>
      <c r="G217" s="1">
        <v>64582.380000000005</v>
      </c>
      <c r="H217" s="1">
        <v>5931</v>
      </c>
      <c r="I217" s="1">
        <v>5934</v>
      </c>
      <c r="J217" s="1">
        <v>38321.37000000001</v>
      </c>
      <c r="K217" s="1">
        <v>38361.56</v>
      </c>
      <c r="L217" s="1">
        <v>4815</v>
      </c>
      <c r="M217" s="1">
        <v>4811</v>
      </c>
      <c r="N217" s="1">
        <v>15549.36</v>
      </c>
      <c r="O217" s="1">
        <v>15538.18</v>
      </c>
      <c r="P217" s="1">
        <v>317</v>
      </c>
      <c r="Q217" s="1">
        <v>315</v>
      </c>
      <c r="R217" s="1">
        <v>10818.550000000001</v>
      </c>
      <c r="S217" s="1">
        <v>10823.52</v>
      </c>
      <c r="T217" s="1">
        <v>1815</v>
      </c>
      <c r="U217" s="1">
        <v>1815</v>
      </c>
      <c r="V217" s="1">
        <v>75949.190000000017</v>
      </c>
      <c r="W217" s="1">
        <v>75940.309999999983</v>
      </c>
      <c r="X217" s="1">
        <v>3753</v>
      </c>
      <c r="Y217" s="1">
        <v>3748</v>
      </c>
      <c r="Z217" s="1">
        <v>257565.03000000009</v>
      </c>
      <c r="AA217" s="1">
        <v>257556.21999999997</v>
      </c>
      <c r="AB217" s="1">
        <v>22366</v>
      </c>
      <c r="AC217" s="1">
        <v>22366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9A53-5299-3F41-928E-49E7A59D28AF}">
  <dimension ref="A1:M470"/>
  <sheetViews>
    <sheetView tabSelected="1" workbookViewId="0">
      <selection activeCell="D1" sqref="D1:D1048576"/>
    </sheetView>
  </sheetViews>
  <sheetFormatPr baseColWidth="10" defaultRowHeight="16" x14ac:dyDescent="0.2"/>
  <cols>
    <col min="1" max="1" width="25.6640625" bestFit="1" customWidth="1"/>
    <col min="2" max="2" width="12.83203125" bestFit="1" customWidth="1"/>
    <col min="3" max="3" width="13.33203125" bestFit="1" customWidth="1"/>
    <col min="4" max="4" width="7.33203125" bestFit="1" customWidth="1"/>
    <col min="5" max="5" width="25.6640625" bestFit="1" customWidth="1"/>
    <col min="6" max="6" width="12.33203125" bestFit="1" customWidth="1"/>
    <col min="7" max="7" width="8.1640625" bestFit="1" customWidth="1"/>
    <col min="8" max="8" width="7.1640625" bestFit="1" customWidth="1"/>
    <col min="9" max="9" width="15.1640625" bestFit="1" customWidth="1"/>
    <col min="10" max="10" width="7.6640625" bestFit="1" customWidth="1"/>
    <col min="11" max="11" width="7.1640625" bestFit="1" customWidth="1"/>
    <col min="12" max="12" width="7.83203125" bestFit="1" customWidth="1"/>
    <col min="13" max="13" width="18.1640625" bestFit="1" customWidth="1"/>
    <col min="14" max="14" width="9.1640625" bestFit="1" customWidth="1"/>
    <col min="15" max="15" width="8.1640625" bestFit="1" customWidth="1"/>
    <col min="16" max="16" width="7.1640625" bestFit="1" customWidth="1"/>
    <col min="17" max="17" width="8.6640625" bestFit="1" customWidth="1"/>
    <col min="18" max="18" width="8.1640625" bestFit="1" customWidth="1"/>
    <col min="19" max="19" width="9.83203125" bestFit="1" customWidth="1"/>
    <col min="20" max="20" width="9" bestFit="1" customWidth="1"/>
    <col min="21" max="21" width="8.1640625" bestFit="1" customWidth="1"/>
    <col min="22" max="22" width="10.83203125" bestFit="1" customWidth="1"/>
    <col min="23" max="23" width="9" bestFit="1" customWidth="1"/>
    <col min="24" max="25" width="8.1640625" bestFit="1" customWidth="1"/>
    <col min="26" max="26" width="7.1640625" bestFit="1" customWidth="1"/>
    <col min="27" max="27" width="8.1640625" bestFit="1" customWidth="1"/>
    <col min="28" max="28" width="8.6640625" bestFit="1" customWidth="1"/>
    <col min="29" max="29" width="7.1640625" bestFit="1" customWidth="1"/>
    <col min="30" max="30" width="8.1640625" bestFit="1" customWidth="1"/>
    <col min="31" max="31" width="20.83203125" bestFit="1" customWidth="1"/>
    <col min="32" max="32" width="9.33203125" bestFit="1" customWidth="1"/>
    <col min="33" max="33" width="7.1640625" bestFit="1" customWidth="1"/>
    <col min="34" max="34" width="18.33203125" bestFit="1" customWidth="1"/>
    <col min="35" max="35" width="17.1640625" bestFit="1" customWidth="1"/>
    <col min="36" max="36" width="8.1640625" bestFit="1" customWidth="1"/>
    <col min="37" max="37" width="11.83203125" bestFit="1" customWidth="1"/>
    <col min="38" max="38" width="8.1640625" bestFit="1" customWidth="1"/>
    <col min="39" max="39" width="10.6640625" bestFit="1" customWidth="1"/>
    <col min="40" max="40" width="9.6640625" bestFit="1" customWidth="1"/>
    <col min="41" max="41" width="9.83203125" bestFit="1" customWidth="1"/>
    <col min="42" max="42" width="7.5" bestFit="1" customWidth="1"/>
    <col min="43" max="43" width="14.33203125" bestFit="1" customWidth="1"/>
    <col min="44" max="44" width="21.5" bestFit="1" customWidth="1"/>
    <col min="45" max="45" width="7.1640625" bestFit="1" customWidth="1"/>
    <col min="46" max="46" width="8.1640625" bestFit="1" customWidth="1"/>
    <col min="47" max="47" width="8.6640625" bestFit="1" customWidth="1"/>
    <col min="48" max="48" width="13.1640625" bestFit="1" customWidth="1"/>
    <col min="49" max="49" width="9.1640625" bestFit="1" customWidth="1"/>
    <col min="50" max="50" width="8.83203125" bestFit="1" customWidth="1"/>
    <col min="51" max="51" width="8.1640625" bestFit="1" customWidth="1"/>
    <col min="52" max="52" width="9.33203125" bestFit="1" customWidth="1"/>
    <col min="53" max="53" width="11.83203125" bestFit="1" customWidth="1"/>
    <col min="54" max="54" width="10.1640625" bestFit="1" customWidth="1"/>
    <col min="55" max="55" width="11.6640625" bestFit="1" customWidth="1"/>
    <col min="56" max="56" width="8.1640625" bestFit="1" customWidth="1"/>
    <col min="57" max="57" width="7.1640625" bestFit="1" customWidth="1"/>
    <col min="58" max="60" width="8.1640625" bestFit="1" customWidth="1"/>
    <col min="61" max="61" width="8.83203125" bestFit="1" customWidth="1"/>
    <col min="62" max="62" width="7.6640625" bestFit="1" customWidth="1"/>
    <col min="63" max="63" width="9.1640625" bestFit="1" customWidth="1"/>
    <col min="64" max="64" width="17.83203125" bestFit="1" customWidth="1"/>
    <col min="65" max="66" width="8.1640625" bestFit="1" customWidth="1"/>
    <col min="67" max="67" width="10" bestFit="1" customWidth="1"/>
    <col min="68" max="68" width="8.1640625" bestFit="1" customWidth="1"/>
    <col min="69" max="69" width="15.6640625" bestFit="1" customWidth="1"/>
    <col min="70" max="70" width="7.1640625" bestFit="1" customWidth="1"/>
    <col min="71" max="73" width="8.1640625" bestFit="1" customWidth="1"/>
    <col min="74" max="74" width="12.1640625" bestFit="1" customWidth="1"/>
    <col min="75" max="76" width="7.1640625" bestFit="1" customWidth="1"/>
    <col min="77" max="79" width="8.1640625" bestFit="1" customWidth="1"/>
    <col min="80" max="80" width="8.6640625" bestFit="1" customWidth="1"/>
    <col min="81" max="81" width="6.5" bestFit="1" customWidth="1"/>
    <col min="82" max="82" width="8.5" bestFit="1" customWidth="1"/>
    <col min="83" max="83" width="7.1640625" bestFit="1" customWidth="1"/>
    <col min="84" max="84" width="8.1640625" bestFit="1" customWidth="1"/>
    <col min="85" max="85" width="7.1640625" bestFit="1" customWidth="1"/>
    <col min="86" max="86" width="10.33203125" bestFit="1" customWidth="1"/>
    <col min="87" max="87" width="8.1640625" bestFit="1" customWidth="1"/>
    <col min="88" max="88" width="13.33203125" bestFit="1" customWidth="1"/>
    <col min="89" max="89" width="7.33203125" bestFit="1" customWidth="1"/>
    <col min="90" max="90" width="8.1640625" bestFit="1" customWidth="1"/>
    <col min="91" max="91" width="9.1640625" bestFit="1" customWidth="1"/>
    <col min="92" max="92" width="10" bestFit="1" customWidth="1"/>
    <col min="93" max="93" width="8" bestFit="1" customWidth="1"/>
    <col min="94" max="95" width="8.1640625" bestFit="1" customWidth="1"/>
    <col min="96" max="96" width="9.1640625" bestFit="1" customWidth="1"/>
    <col min="97" max="103" width="8.1640625" bestFit="1" customWidth="1"/>
    <col min="104" max="104" width="10.83203125" bestFit="1" customWidth="1"/>
    <col min="105" max="105" width="8.1640625" bestFit="1" customWidth="1"/>
    <col min="106" max="106" width="10" bestFit="1" customWidth="1"/>
    <col min="107" max="107" width="13.5" bestFit="1" customWidth="1"/>
    <col min="108" max="109" width="8.1640625" bestFit="1" customWidth="1"/>
    <col min="110" max="110" width="14" bestFit="1" customWidth="1"/>
    <col min="111" max="111" width="7.1640625" bestFit="1" customWidth="1"/>
    <col min="112" max="113" width="8.1640625" bestFit="1" customWidth="1"/>
    <col min="114" max="114" width="7.83203125" bestFit="1" customWidth="1"/>
    <col min="115" max="116" width="8.1640625" bestFit="1" customWidth="1"/>
    <col min="117" max="117" width="12.5" bestFit="1" customWidth="1"/>
    <col min="118" max="118" width="8.83203125" bestFit="1" customWidth="1"/>
    <col min="119" max="119" width="11.33203125" bestFit="1" customWidth="1"/>
    <col min="120" max="120" width="6.6640625" bestFit="1" customWidth="1"/>
    <col min="121" max="121" width="11.33203125" bestFit="1" customWidth="1"/>
    <col min="122" max="122" width="8.1640625" bestFit="1" customWidth="1"/>
    <col min="123" max="124" width="8.5" bestFit="1" customWidth="1"/>
    <col min="125" max="125" width="8.1640625" bestFit="1" customWidth="1"/>
    <col min="126" max="126" width="7.1640625" bestFit="1" customWidth="1"/>
    <col min="127" max="127" width="10" bestFit="1" customWidth="1"/>
    <col min="128" max="128" width="9" bestFit="1" customWidth="1"/>
    <col min="129" max="129" width="8.1640625" bestFit="1" customWidth="1"/>
    <col min="130" max="130" width="8" bestFit="1" customWidth="1"/>
    <col min="131" max="131" width="8.6640625" bestFit="1" customWidth="1"/>
    <col min="132" max="132" width="11" bestFit="1" customWidth="1"/>
    <col min="133" max="133" width="10.33203125" bestFit="1" customWidth="1"/>
    <col min="134" max="134" width="8.33203125" bestFit="1" customWidth="1"/>
    <col min="135" max="135" width="11.6640625" bestFit="1" customWidth="1"/>
    <col min="136" max="136" width="8.83203125" bestFit="1" customWidth="1"/>
    <col min="137" max="137" width="8.1640625" bestFit="1" customWidth="1"/>
    <col min="138" max="138" width="7.1640625" bestFit="1" customWidth="1"/>
    <col min="139" max="139" width="11.33203125" bestFit="1" customWidth="1"/>
    <col min="140" max="140" width="13.5" bestFit="1" customWidth="1"/>
    <col min="141" max="141" width="11.6640625" bestFit="1" customWidth="1"/>
    <col min="142" max="142" width="9.6640625" bestFit="1" customWidth="1"/>
    <col min="143" max="143" width="7.1640625" bestFit="1" customWidth="1"/>
    <col min="144" max="144" width="8.1640625" bestFit="1" customWidth="1"/>
    <col min="145" max="145" width="15.1640625" bestFit="1" customWidth="1"/>
    <col min="146" max="146" width="14.5" bestFit="1" customWidth="1"/>
    <col min="147" max="148" width="8.1640625" bestFit="1" customWidth="1"/>
    <col min="149" max="149" width="8.5" bestFit="1" customWidth="1"/>
    <col min="150" max="150" width="9" bestFit="1" customWidth="1"/>
    <col min="151" max="151" width="8.1640625" bestFit="1" customWidth="1"/>
    <col min="152" max="152" width="16.6640625" bestFit="1" customWidth="1"/>
    <col min="153" max="153" width="8.83203125" bestFit="1" customWidth="1"/>
    <col min="154" max="154" width="8.1640625" bestFit="1" customWidth="1"/>
    <col min="155" max="155" width="10.33203125" bestFit="1" customWidth="1"/>
    <col min="156" max="157" width="8.1640625" bestFit="1" customWidth="1"/>
    <col min="158" max="158" width="10.6640625" bestFit="1" customWidth="1"/>
    <col min="159" max="159" width="8.1640625" bestFit="1" customWidth="1"/>
    <col min="160" max="160" width="16.5" bestFit="1" customWidth="1"/>
    <col min="161" max="161" width="8.5" bestFit="1" customWidth="1"/>
    <col min="162" max="163" width="8.1640625" bestFit="1" customWidth="1"/>
    <col min="164" max="164" width="7.1640625" bestFit="1" customWidth="1"/>
    <col min="165" max="165" width="10.1640625" bestFit="1" customWidth="1"/>
    <col min="166" max="166" width="20" bestFit="1" customWidth="1"/>
    <col min="167" max="167" width="11.33203125" bestFit="1" customWidth="1"/>
    <col min="168" max="168" width="8.33203125" bestFit="1" customWidth="1"/>
    <col min="169" max="170" width="8.1640625" bestFit="1" customWidth="1"/>
    <col min="171" max="171" width="10" bestFit="1" customWidth="1"/>
    <col min="172" max="172" width="11.33203125" bestFit="1" customWidth="1"/>
    <col min="173" max="173" width="9.33203125" bestFit="1" customWidth="1"/>
    <col min="174" max="175" width="8.1640625" bestFit="1" customWidth="1"/>
    <col min="176" max="176" width="14.6640625" bestFit="1" customWidth="1"/>
    <col min="177" max="177" width="7.83203125" bestFit="1" customWidth="1"/>
    <col min="178" max="179" width="11.1640625" bestFit="1" customWidth="1"/>
    <col min="180" max="180" width="8.1640625" bestFit="1" customWidth="1"/>
    <col min="181" max="181" width="8.6640625" bestFit="1" customWidth="1"/>
    <col min="182" max="182" width="15.5" bestFit="1" customWidth="1"/>
    <col min="183" max="183" width="7.6640625" bestFit="1" customWidth="1"/>
    <col min="184" max="184" width="26" bestFit="1" customWidth="1"/>
    <col min="185" max="185" width="8.1640625" bestFit="1" customWidth="1"/>
    <col min="186" max="186" width="9" bestFit="1" customWidth="1"/>
    <col min="187" max="187" width="8.1640625" bestFit="1" customWidth="1"/>
    <col min="188" max="188" width="10.6640625" bestFit="1" customWidth="1"/>
    <col min="189" max="189" width="8.1640625" bestFit="1" customWidth="1"/>
    <col min="190" max="190" width="7.1640625" bestFit="1" customWidth="1"/>
    <col min="191" max="191" width="9.1640625" bestFit="1" customWidth="1"/>
    <col min="192" max="192" width="8.33203125" bestFit="1" customWidth="1"/>
    <col min="193" max="193" width="8.1640625" bestFit="1" customWidth="1"/>
    <col min="194" max="194" width="10.83203125" bestFit="1" customWidth="1"/>
    <col min="195" max="195" width="11.1640625" bestFit="1" customWidth="1"/>
    <col min="196" max="196" width="8.1640625" bestFit="1" customWidth="1"/>
    <col min="197" max="197" width="7.1640625" bestFit="1" customWidth="1"/>
    <col min="198" max="198" width="17.33203125" bestFit="1" customWidth="1"/>
    <col min="199" max="200" width="8.1640625" bestFit="1" customWidth="1"/>
    <col min="201" max="201" width="12.5" bestFit="1" customWidth="1"/>
    <col min="202" max="202" width="21.83203125" bestFit="1" customWidth="1"/>
    <col min="203" max="204" width="8.1640625" bestFit="1" customWidth="1"/>
    <col min="205" max="205" width="18.6640625" bestFit="1" customWidth="1"/>
    <col min="206" max="206" width="8.1640625" bestFit="1" customWidth="1"/>
    <col min="207" max="207" width="14.83203125" bestFit="1" customWidth="1"/>
    <col min="208" max="208" width="8.1640625" bestFit="1" customWidth="1"/>
    <col min="209" max="209" width="10.33203125" bestFit="1" customWidth="1"/>
    <col min="210" max="210" width="8" bestFit="1" customWidth="1"/>
    <col min="211" max="211" width="9.6640625" bestFit="1" customWidth="1"/>
    <col min="212" max="215" width="8.1640625" bestFit="1" customWidth="1"/>
    <col min="216" max="216" width="9.6640625" bestFit="1" customWidth="1"/>
    <col min="217" max="217" width="10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434</v>
      </c>
      <c r="I1" t="s">
        <v>435</v>
      </c>
      <c r="J1" t="s">
        <v>436</v>
      </c>
      <c r="K1" t="s">
        <v>437</v>
      </c>
      <c r="L1" t="s">
        <v>438</v>
      </c>
      <c r="M1" t="s">
        <v>439</v>
      </c>
    </row>
    <row r="2" spans="1:13" x14ac:dyDescent="0.2">
      <c r="A2" s="1" t="s">
        <v>7</v>
      </c>
      <c r="B2" s="1" t="s">
        <v>8</v>
      </c>
      <c r="C2" s="1" t="s">
        <v>9</v>
      </c>
      <c r="D2">
        <v>1</v>
      </c>
      <c r="E2">
        <v>1</v>
      </c>
      <c r="F2">
        <v>1841.3</v>
      </c>
      <c r="G2">
        <v>1837.56</v>
      </c>
      <c r="H2">
        <f>E2 - D2</f>
        <v>0</v>
      </c>
      <c r="I2">
        <f>F2 - G2</f>
        <v>3.7400000000000091</v>
      </c>
      <c r="J2" t="str">
        <f>TRIM(C2)</f>
        <v>CONMEBOL</v>
      </c>
      <c r="K2" s="1">
        <f>SUMIF(C:C, "UEFA", F:F)</f>
        <v>75949.19</v>
      </c>
      <c r="L2" s="1">
        <f>COUNTIF(C:C, "CAF")</f>
        <v>54</v>
      </c>
      <c r="M2" s="1">
        <f>SUMIFS(F:F, C:C, "UEFA", D:D, "&lt;=20")</f>
        <v>20285.549999999996</v>
      </c>
    </row>
    <row r="3" spans="1:13" x14ac:dyDescent="0.2">
      <c r="A3" s="1" t="s">
        <v>10</v>
      </c>
      <c r="B3" s="1" t="s">
        <v>11</v>
      </c>
      <c r="C3" s="1" t="s">
        <v>12</v>
      </c>
      <c r="D3">
        <v>2</v>
      </c>
      <c r="E3">
        <v>2</v>
      </c>
      <c r="F3">
        <v>1816.71</v>
      </c>
      <c r="G3">
        <v>1821.92</v>
      </c>
      <c r="H3">
        <f>E3 - D3</f>
        <v>0</v>
      </c>
      <c r="I3">
        <f>F3 - G3</f>
        <v>-5.2100000000000364</v>
      </c>
      <c r="J3" t="str">
        <f>TRIM(C3)</f>
        <v>UEFA</v>
      </c>
      <c r="K3" s="1">
        <f>SUMIF(C:C, "UEFA", F:F)</f>
        <v>75949.19</v>
      </c>
      <c r="L3" s="1">
        <f>COUNTIF(C:C, "CAF")</f>
        <v>54</v>
      </c>
      <c r="M3" s="1">
        <f>SUMIFS(F:F, C:C, "UEFA", D:D, "&lt;=20")</f>
        <v>20285.549999999996</v>
      </c>
    </row>
    <row r="4" spans="1:13" x14ac:dyDescent="0.2">
      <c r="A4" s="1" t="s">
        <v>13</v>
      </c>
      <c r="B4" s="1" t="s">
        <v>14</v>
      </c>
      <c r="C4" s="1" t="s">
        <v>9</v>
      </c>
      <c r="D4">
        <v>3</v>
      </c>
      <c r="E4">
        <v>3</v>
      </c>
      <c r="F4">
        <v>1773.88</v>
      </c>
      <c r="G4">
        <v>1770.65</v>
      </c>
      <c r="H4">
        <f>E4 - D4</f>
        <v>0</v>
      </c>
      <c r="I4">
        <f>F4 - G4</f>
        <v>3.2300000000000182</v>
      </c>
      <c r="J4" t="str">
        <f>TRIM(C4)</f>
        <v>CONMEBOL</v>
      </c>
      <c r="K4" s="1">
        <f>SUMIF(C:C, "UEFA", F:F)</f>
        <v>75949.19</v>
      </c>
      <c r="L4" s="1">
        <f>COUNTIF(C:C, "CAF")</f>
        <v>54</v>
      </c>
      <c r="M4" s="1">
        <f>SUMIFS(F:F, C:C, "UEFA", D:D, "&lt;=20")</f>
        <v>20285.549999999996</v>
      </c>
    </row>
    <row r="5" spans="1:13" x14ac:dyDescent="0.2">
      <c r="A5" s="1" t="s">
        <v>15</v>
      </c>
      <c r="B5" s="1" t="s">
        <v>16</v>
      </c>
      <c r="C5" s="1" t="s">
        <v>12</v>
      </c>
      <c r="D5">
        <v>4</v>
      </c>
      <c r="E5">
        <v>4</v>
      </c>
      <c r="F5">
        <v>1759.78</v>
      </c>
      <c r="G5">
        <v>1764.85</v>
      </c>
      <c r="H5">
        <f>E5 - D5</f>
        <v>0</v>
      </c>
      <c r="I5">
        <f>F5 - G5</f>
        <v>-5.0699999999999363</v>
      </c>
      <c r="J5" t="str">
        <f>TRIM(C5)</f>
        <v>UEFA</v>
      </c>
      <c r="K5" s="1">
        <f>SUMIF(C:C, "UEFA", F:F)</f>
        <v>75949.19</v>
      </c>
      <c r="L5" s="1">
        <f>COUNTIF(C:C, "CAF")</f>
        <v>54</v>
      </c>
      <c r="M5" s="1">
        <f>SUMIFS(F:F, C:C, "UEFA", D:D, "&lt;=20")</f>
        <v>20285.549999999996</v>
      </c>
    </row>
    <row r="6" spans="1:13" x14ac:dyDescent="0.2">
      <c r="A6" s="1" t="s">
        <v>17</v>
      </c>
      <c r="B6" s="1" t="s">
        <v>18</v>
      </c>
      <c r="C6" s="1" t="s">
        <v>12</v>
      </c>
      <c r="D6">
        <v>5</v>
      </c>
      <c r="E6">
        <v>5</v>
      </c>
      <c r="F6">
        <v>1728.47</v>
      </c>
      <c r="G6">
        <v>1737.46</v>
      </c>
      <c r="H6">
        <f>E6 - D6</f>
        <v>0</v>
      </c>
      <c r="I6">
        <f>F6 - G6</f>
        <v>-8.9900000000000091</v>
      </c>
      <c r="J6" t="str">
        <f>TRIM(C6)</f>
        <v>UEFA</v>
      </c>
      <c r="K6" s="1">
        <f>SUMIF(C:C, "UEFA", F:F)</f>
        <v>75949.19</v>
      </c>
      <c r="L6" s="1">
        <f>COUNTIF(C:C, "CAF")</f>
        <v>54</v>
      </c>
      <c r="M6" s="1">
        <f>SUMIFS(F:F, C:C, "UEFA", D:D, "&lt;=20")</f>
        <v>20285.549999999996</v>
      </c>
    </row>
    <row r="7" spans="1:13" x14ac:dyDescent="0.2">
      <c r="A7" s="1" t="s">
        <v>19</v>
      </c>
      <c r="B7" s="1" t="s">
        <v>20</v>
      </c>
      <c r="C7" s="1" t="s">
        <v>12</v>
      </c>
      <c r="D7">
        <v>6</v>
      </c>
      <c r="E7">
        <v>7</v>
      </c>
      <c r="F7">
        <v>1726.14</v>
      </c>
      <c r="G7">
        <v>1713.86</v>
      </c>
      <c r="H7">
        <f>E7 - D7</f>
        <v>1</v>
      </c>
      <c r="I7">
        <f>F7 - G7</f>
        <v>12.2800000000002</v>
      </c>
      <c r="J7" t="str">
        <f>TRIM(C7)</f>
        <v>UEFA</v>
      </c>
      <c r="K7" s="1">
        <f>SUMIF(C:C, "UEFA", F:F)</f>
        <v>75949.19</v>
      </c>
      <c r="L7" s="1">
        <f>COUNTIF(C:C, "CAF")</f>
        <v>54</v>
      </c>
      <c r="M7" s="1">
        <f>SUMIFS(F:F, C:C, "UEFA", D:D, "&lt;=20")</f>
        <v>20285.549999999996</v>
      </c>
    </row>
    <row r="8" spans="1:13" x14ac:dyDescent="0.2">
      <c r="A8" s="1" t="s">
        <v>21</v>
      </c>
      <c r="B8" s="1" t="s">
        <v>22</v>
      </c>
      <c r="C8" s="1" t="s">
        <v>12</v>
      </c>
      <c r="D8">
        <v>7</v>
      </c>
      <c r="E8">
        <v>6</v>
      </c>
      <c r="F8">
        <v>1715.22</v>
      </c>
      <c r="G8">
        <v>1716.93</v>
      </c>
      <c r="H8">
        <f>E8 - D8</f>
        <v>-1</v>
      </c>
      <c r="I8">
        <f>F8 - G8</f>
        <v>-1.7100000000000364</v>
      </c>
      <c r="J8" t="str">
        <f>TRIM(C8)</f>
        <v>UEFA</v>
      </c>
      <c r="K8" s="1">
        <f>SUMIF(C:C, "UEFA", F:F)</f>
        <v>75949.19</v>
      </c>
      <c r="L8" s="1">
        <f>COUNTIF(C:C, "CAF")</f>
        <v>54</v>
      </c>
      <c r="M8" s="1">
        <f>SUMIFS(F:F, C:C, "UEFA", D:D, "&lt;=20")</f>
        <v>20285.549999999996</v>
      </c>
    </row>
    <row r="9" spans="1:13" x14ac:dyDescent="0.2">
      <c r="A9" s="1" t="s">
        <v>23</v>
      </c>
      <c r="B9" s="1" t="s">
        <v>24</v>
      </c>
      <c r="C9" s="1" t="s">
        <v>12</v>
      </c>
      <c r="D9">
        <v>8</v>
      </c>
      <c r="E9">
        <v>8</v>
      </c>
      <c r="F9">
        <v>1694.51</v>
      </c>
      <c r="G9">
        <v>1679.41</v>
      </c>
      <c r="H9">
        <f>E9 - D9</f>
        <v>0</v>
      </c>
      <c r="I9">
        <f>F9 - G9</f>
        <v>15.099999999999909</v>
      </c>
      <c r="J9" t="str">
        <f>TRIM(C9)</f>
        <v>UEFA</v>
      </c>
      <c r="K9" s="1">
        <f>SUMIF(C:C, "UEFA", F:F)</f>
        <v>75949.19</v>
      </c>
      <c r="L9" s="1">
        <f>COUNTIF(C:C, "CAF")</f>
        <v>54</v>
      </c>
      <c r="M9" s="1">
        <f>SUMIFS(F:F, C:C, "UEFA", D:D, "&lt;=20")</f>
        <v>20285.549999999996</v>
      </c>
    </row>
    <row r="10" spans="1:13" x14ac:dyDescent="0.2">
      <c r="A10" s="1" t="s">
        <v>25</v>
      </c>
      <c r="B10" s="1" t="s">
        <v>26</v>
      </c>
      <c r="C10" s="1" t="s">
        <v>12</v>
      </c>
      <c r="D10">
        <v>9</v>
      </c>
      <c r="E10">
        <v>9</v>
      </c>
      <c r="F10">
        <v>1676.56</v>
      </c>
      <c r="G10">
        <v>1678.65</v>
      </c>
      <c r="H10">
        <f>E10 - D10</f>
        <v>0</v>
      </c>
      <c r="I10">
        <f>F10 - G10</f>
        <v>-2.0900000000001455</v>
      </c>
      <c r="J10" t="str">
        <f>TRIM(C10)</f>
        <v>UEFA</v>
      </c>
      <c r="K10" s="1">
        <f>SUMIF(C:C, "UEFA", F:F)</f>
        <v>75949.19</v>
      </c>
      <c r="L10" s="1">
        <f>COUNTIF(C:C, "CAF")</f>
        <v>54</v>
      </c>
      <c r="M10" s="1">
        <f>SUMIFS(F:F, C:C, "UEFA", D:D, "&lt;=20")</f>
        <v>20285.549999999996</v>
      </c>
    </row>
    <row r="11" spans="1:13" x14ac:dyDescent="0.2">
      <c r="A11" s="1" t="s">
        <v>27</v>
      </c>
      <c r="B11" s="1" t="s">
        <v>28</v>
      </c>
      <c r="C11" s="1" t="s">
        <v>12</v>
      </c>
      <c r="D11">
        <v>10</v>
      </c>
      <c r="E11">
        <v>10</v>
      </c>
      <c r="F11">
        <v>1666.57</v>
      </c>
      <c r="G11">
        <v>1665.47</v>
      </c>
      <c r="H11">
        <f>E11 - D11</f>
        <v>0</v>
      </c>
      <c r="I11">
        <f>F11 - G11</f>
        <v>1.0999999999999091</v>
      </c>
      <c r="J11" t="str">
        <f>TRIM(C11)</f>
        <v>UEFA</v>
      </c>
      <c r="K11" s="1">
        <f>SUMIF(C:C, "UEFA", F:F)</f>
        <v>75949.19</v>
      </c>
      <c r="L11" s="1">
        <f>COUNTIF(C:C, "CAF")</f>
        <v>54</v>
      </c>
      <c r="M11" s="1">
        <f>SUMIFS(F:F, C:C, "UEFA", D:D, "&lt;=20")</f>
        <v>20285.549999999996</v>
      </c>
    </row>
    <row r="12" spans="1:13" x14ac:dyDescent="0.2">
      <c r="A12" s="1" t="s">
        <v>29</v>
      </c>
      <c r="B12" s="1" t="s">
        <v>30</v>
      </c>
      <c r="C12" s="1" t="s">
        <v>12</v>
      </c>
      <c r="D12">
        <v>11</v>
      </c>
      <c r="E12">
        <v>11</v>
      </c>
      <c r="F12">
        <v>1650.21</v>
      </c>
      <c r="G12">
        <v>1658.96</v>
      </c>
      <c r="H12">
        <f>E12 - D12</f>
        <v>0</v>
      </c>
      <c r="I12">
        <f>F12 - G12</f>
        <v>-8.75</v>
      </c>
      <c r="J12" t="str">
        <f>TRIM(C12)</f>
        <v>UEFA</v>
      </c>
      <c r="K12" s="1">
        <f>SUMIF(C:C, "UEFA", F:F)</f>
        <v>75949.19</v>
      </c>
      <c r="L12" s="1">
        <f>COUNTIF(C:C, "CAF")</f>
        <v>54</v>
      </c>
      <c r="M12" s="1">
        <f>SUMIFS(F:F, C:C, "UEFA", D:D, "&lt;=20")</f>
        <v>20285.549999999996</v>
      </c>
    </row>
    <row r="13" spans="1:13" x14ac:dyDescent="0.2">
      <c r="A13" s="1" t="s">
        <v>31</v>
      </c>
      <c r="B13" s="1" t="s">
        <v>32</v>
      </c>
      <c r="C13" s="1" t="s">
        <v>12</v>
      </c>
      <c r="D13">
        <v>12</v>
      </c>
      <c r="E13">
        <v>15</v>
      </c>
      <c r="F13">
        <v>1645.64</v>
      </c>
      <c r="G13">
        <v>1632.15</v>
      </c>
      <c r="H13">
        <f>E13 - D13</f>
        <v>3</v>
      </c>
      <c r="I13">
        <f>F13 - G13</f>
        <v>13.490000000000009</v>
      </c>
      <c r="J13" t="str">
        <f>TRIM(C13)</f>
        <v>UEFA</v>
      </c>
      <c r="K13" s="1">
        <f>SUMIF(C:C, "UEFA", F:F)</f>
        <v>75949.19</v>
      </c>
      <c r="L13" s="1">
        <f>COUNTIF(C:C, "CAF")</f>
        <v>54</v>
      </c>
      <c r="M13" s="1">
        <f>SUMIFS(F:F, C:C, "UEFA", D:D, "&lt;=20")</f>
        <v>20285.549999999996</v>
      </c>
    </row>
    <row r="14" spans="1:13" x14ac:dyDescent="0.2">
      <c r="A14" s="1" t="s">
        <v>33</v>
      </c>
      <c r="B14" s="1" t="s">
        <v>34</v>
      </c>
      <c r="C14" s="1" t="s">
        <v>35</v>
      </c>
      <c r="D14">
        <v>13</v>
      </c>
      <c r="E14">
        <v>12</v>
      </c>
      <c r="F14">
        <v>1644.89</v>
      </c>
      <c r="G14">
        <v>1649.57</v>
      </c>
      <c r="H14">
        <f>E14 - D14</f>
        <v>-1</v>
      </c>
      <c r="I14">
        <f>F14 - G14</f>
        <v>-4.6799999999998363</v>
      </c>
      <c r="J14" t="str">
        <f>TRIM(C14)</f>
        <v>CONCACAF</v>
      </c>
      <c r="K14" s="1">
        <f>SUMIF(C:C, "UEFA", F:F)</f>
        <v>75949.19</v>
      </c>
      <c r="L14" s="1">
        <f>COUNTIF(C:C, "CAF")</f>
        <v>54</v>
      </c>
      <c r="M14" s="1">
        <f>SUMIFS(F:F, C:C, "UEFA", D:D, "&lt;=20")</f>
        <v>20285.549999999996</v>
      </c>
    </row>
    <row r="15" spans="1:13" x14ac:dyDescent="0.2">
      <c r="A15" s="1" t="s">
        <v>36</v>
      </c>
      <c r="B15" s="1" t="s">
        <v>37</v>
      </c>
      <c r="C15" s="1" t="s">
        <v>9</v>
      </c>
      <c r="D15">
        <v>14</v>
      </c>
      <c r="E15">
        <v>13</v>
      </c>
      <c r="F15">
        <v>1638.71</v>
      </c>
      <c r="G15">
        <v>1640.95</v>
      </c>
      <c r="H15">
        <f>E15 - D15</f>
        <v>-1</v>
      </c>
      <c r="I15">
        <f>F15 - G15</f>
        <v>-2.2400000000000091</v>
      </c>
      <c r="J15" t="str">
        <f>TRIM(C15)</f>
        <v>CONMEBOL</v>
      </c>
      <c r="K15" s="1">
        <f>SUMIF(C:C, "UEFA", F:F)</f>
        <v>75949.19</v>
      </c>
      <c r="L15" s="1">
        <f>COUNTIF(C:C, "CAF")</f>
        <v>54</v>
      </c>
      <c r="M15" s="1">
        <f>SUMIFS(F:F, C:C, "UEFA", D:D, "&lt;=20")</f>
        <v>20285.549999999996</v>
      </c>
    </row>
    <row r="16" spans="1:13" x14ac:dyDescent="0.2">
      <c r="A16" s="1" t="s">
        <v>38</v>
      </c>
      <c r="B16" s="1" t="s">
        <v>39</v>
      </c>
      <c r="C16" s="1" t="s">
        <v>12</v>
      </c>
      <c r="D16">
        <v>15</v>
      </c>
      <c r="E16">
        <v>16</v>
      </c>
      <c r="F16">
        <v>1635.92</v>
      </c>
      <c r="G16">
        <v>1621.43</v>
      </c>
      <c r="H16">
        <f>E16 - D16</f>
        <v>1</v>
      </c>
      <c r="I16">
        <f>F16 - G16</f>
        <v>14.490000000000009</v>
      </c>
      <c r="J16" t="str">
        <f>TRIM(C16)</f>
        <v>UEFA</v>
      </c>
      <c r="K16" s="1">
        <f>SUMIF(C:C, "UEFA", F:F)</f>
        <v>75949.19</v>
      </c>
      <c r="L16" s="1">
        <f>COUNTIF(C:C, "CAF")</f>
        <v>54</v>
      </c>
      <c r="M16" s="1">
        <f>SUMIFS(F:F, C:C, "UEFA", D:D, "&lt;=20")</f>
        <v>20285.549999999996</v>
      </c>
    </row>
    <row r="17" spans="1:13" x14ac:dyDescent="0.2">
      <c r="A17" s="1" t="s">
        <v>40</v>
      </c>
      <c r="B17" s="1" t="s">
        <v>40</v>
      </c>
      <c r="C17" s="1" t="s">
        <v>35</v>
      </c>
      <c r="D17">
        <v>16</v>
      </c>
      <c r="E17">
        <v>14</v>
      </c>
      <c r="F17">
        <v>1627.48</v>
      </c>
      <c r="G17">
        <v>1635.01</v>
      </c>
      <c r="H17">
        <f>E17 - D17</f>
        <v>-2</v>
      </c>
      <c r="I17">
        <f>F17 - G17</f>
        <v>-7.5299999999999727</v>
      </c>
      <c r="J17" t="str">
        <f>TRIM(C17)</f>
        <v>CONCACAF</v>
      </c>
      <c r="K17" s="1">
        <f>SUMIF(C:C, "UEFA", F:F)</f>
        <v>75949.19</v>
      </c>
      <c r="L17" s="1">
        <f>COUNTIF(C:C, "CAF")</f>
        <v>54</v>
      </c>
      <c r="M17" s="1">
        <f>SUMIFS(F:F, C:C, "UEFA", D:D, "&lt;=20")</f>
        <v>20285.549999999996</v>
      </c>
    </row>
    <row r="18" spans="1:13" x14ac:dyDescent="0.2">
      <c r="A18" s="1" t="s">
        <v>41</v>
      </c>
      <c r="B18" s="1" t="s">
        <v>42</v>
      </c>
      <c r="C18" s="1" t="s">
        <v>9</v>
      </c>
      <c r="D18">
        <v>17</v>
      </c>
      <c r="E18">
        <v>17</v>
      </c>
      <c r="F18">
        <v>1611.04</v>
      </c>
      <c r="G18">
        <v>1604.07</v>
      </c>
      <c r="H18">
        <f>E18 - D18</f>
        <v>0</v>
      </c>
      <c r="I18">
        <f>F18 - G18</f>
        <v>6.9700000000000273</v>
      </c>
      <c r="J18" t="str">
        <f>TRIM(C18)</f>
        <v>CONMEBOL</v>
      </c>
      <c r="K18" s="1">
        <f>SUMIF(C:C, "UEFA", F:F)</f>
        <v>75949.19</v>
      </c>
      <c r="L18" s="1">
        <f>COUNTIF(C:C, "CAF")</f>
        <v>54</v>
      </c>
      <c r="M18" s="1">
        <f>SUMIFS(F:F, C:C, "UEFA", D:D, "&lt;=20")</f>
        <v>20285.549999999996</v>
      </c>
    </row>
    <row r="19" spans="1:13" x14ac:dyDescent="0.2">
      <c r="A19" s="1" t="s">
        <v>43</v>
      </c>
      <c r="B19" s="1" t="s">
        <v>44</v>
      </c>
      <c r="C19" s="1" t="s">
        <v>45</v>
      </c>
      <c r="D19">
        <v>18</v>
      </c>
      <c r="E19">
        <v>18</v>
      </c>
      <c r="F19">
        <v>1584.38</v>
      </c>
      <c r="G19">
        <v>1584.59</v>
      </c>
      <c r="H19">
        <f>E19 - D19</f>
        <v>0</v>
      </c>
      <c r="I19">
        <f>F19 - G19</f>
        <v>-0.20999999999980901</v>
      </c>
      <c r="J19" t="str">
        <f>TRIM(C19)</f>
        <v>CAF</v>
      </c>
      <c r="K19" s="1">
        <f>SUMIF(C:C, "UEFA", F:F)</f>
        <v>75949.19</v>
      </c>
      <c r="L19" s="1">
        <f>COUNTIF(C:C, "CAF")</f>
        <v>54</v>
      </c>
      <c r="M19" s="1">
        <f>SUMIFS(F:F, C:C, "UEFA", D:D, "&lt;=20")</f>
        <v>20285.549999999996</v>
      </c>
    </row>
    <row r="20" spans="1:13" x14ac:dyDescent="0.2">
      <c r="A20" s="1" t="s">
        <v>46</v>
      </c>
      <c r="B20" s="1" t="s">
        <v>47</v>
      </c>
      <c r="C20" s="1" t="s">
        <v>12</v>
      </c>
      <c r="D20">
        <v>19</v>
      </c>
      <c r="E20">
        <v>19</v>
      </c>
      <c r="F20">
        <v>1569.82</v>
      </c>
      <c r="G20">
        <v>1582.13</v>
      </c>
      <c r="H20">
        <f>E20 - D20</f>
        <v>0</v>
      </c>
      <c r="I20">
        <f>F20 - G20</f>
        <v>-12.310000000000173</v>
      </c>
      <c r="J20" t="str">
        <f>TRIM(C20)</f>
        <v>UEFA</v>
      </c>
      <c r="K20" s="1">
        <f>SUMIF(C:C, "UEFA", F:F)</f>
        <v>75949.19</v>
      </c>
      <c r="L20" s="1">
        <f>COUNTIF(C:C, "CAF")</f>
        <v>54</v>
      </c>
      <c r="M20" s="1">
        <f>SUMIFS(F:F, C:C, "UEFA", D:D, "&lt;=20")</f>
        <v>20285.549999999996</v>
      </c>
    </row>
    <row r="21" spans="1:13" x14ac:dyDescent="0.2">
      <c r="A21" s="1" t="s">
        <v>48</v>
      </c>
      <c r="B21" s="1" t="s">
        <v>49</v>
      </c>
      <c r="C21" s="1" t="s">
        <v>50</v>
      </c>
      <c r="D21">
        <v>20</v>
      </c>
      <c r="E21">
        <v>22</v>
      </c>
      <c r="F21">
        <v>1564.61</v>
      </c>
      <c r="G21">
        <v>1558.64</v>
      </c>
      <c r="H21">
        <f>E21 - D21</f>
        <v>2</v>
      </c>
      <c r="I21">
        <f>F21 - G21</f>
        <v>5.9699999999997999</v>
      </c>
      <c r="J21" t="str">
        <f>TRIM(C21)</f>
        <v>AFC</v>
      </c>
      <c r="K21" s="1">
        <f>SUMIF(C:C, "UEFA", F:F)</f>
        <v>75949.19</v>
      </c>
      <c r="L21" s="1">
        <f>COUNTIF(C:C, "CAF")</f>
        <v>54</v>
      </c>
      <c r="M21" s="1">
        <f>SUMIFS(F:F, C:C, "UEFA", D:D, "&lt;=20")</f>
        <v>20285.549999999996</v>
      </c>
    </row>
    <row r="22" spans="1:13" x14ac:dyDescent="0.2">
      <c r="A22" s="1" t="s">
        <v>51</v>
      </c>
      <c r="B22" s="1" t="s">
        <v>52</v>
      </c>
      <c r="C22" s="1" t="s">
        <v>12</v>
      </c>
      <c r="D22">
        <v>21</v>
      </c>
      <c r="E22">
        <v>25</v>
      </c>
      <c r="F22">
        <v>1563.62</v>
      </c>
      <c r="G22">
        <v>1549.53</v>
      </c>
      <c r="H22">
        <f>E22 - D22</f>
        <v>4</v>
      </c>
      <c r="I22">
        <f>F22 - G22</f>
        <v>14.089999999999918</v>
      </c>
      <c r="J22" t="str">
        <f>TRIM(C22)</f>
        <v>UEFA</v>
      </c>
      <c r="K22" s="1">
        <f>SUMIF(C:C, "UEFA", F:F)</f>
        <v>75949.19</v>
      </c>
      <c r="L22" s="1">
        <f>COUNTIF(C:C, "CAF")</f>
        <v>54</v>
      </c>
      <c r="M22" s="1">
        <f>SUMIFS(F:F, C:C, "UEFA", D:D, "&lt;=20")</f>
        <v>20285.549999999996</v>
      </c>
    </row>
    <row r="23" spans="1:13" x14ac:dyDescent="0.2">
      <c r="A23" s="1" t="s">
        <v>53</v>
      </c>
      <c r="B23" s="1" t="s">
        <v>54</v>
      </c>
      <c r="C23" s="1" t="s">
        <v>45</v>
      </c>
      <c r="D23">
        <v>22</v>
      </c>
      <c r="E23">
        <v>23</v>
      </c>
      <c r="F23">
        <v>1563.5</v>
      </c>
      <c r="G23">
        <v>1558.35</v>
      </c>
      <c r="H23">
        <f>E23 - D23</f>
        <v>1</v>
      </c>
      <c r="I23">
        <f>F23 - G23</f>
        <v>5.1500000000000909</v>
      </c>
      <c r="J23" t="str">
        <f>TRIM(C23)</f>
        <v>CAF</v>
      </c>
      <c r="K23" s="1">
        <f>SUMIF(C:C, "UEFA", F:F)</f>
        <v>75949.19</v>
      </c>
      <c r="L23" s="1">
        <f>COUNTIF(C:C, "CAF")</f>
        <v>54</v>
      </c>
      <c r="M23" s="1">
        <f>SUMIFS(F:F, C:C, "UEFA", D:D, "&lt;=20")</f>
        <v>20285.549999999996</v>
      </c>
    </row>
    <row r="24" spans="1:13" x14ac:dyDescent="0.2">
      <c r="A24" s="1" t="s">
        <v>55</v>
      </c>
      <c r="B24" s="1" t="s">
        <v>56</v>
      </c>
      <c r="C24" s="1" t="s">
        <v>9</v>
      </c>
      <c r="D24">
        <v>23</v>
      </c>
      <c r="E24">
        <v>21</v>
      </c>
      <c r="F24">
        <v>1561.01</v>
      </c>
      <c r="G24">
        <v>1562.24</v>
      </c>
      <c r="H24">
        <f>E24 - D24</f>
        <v>-2</v>
      </c>
      <c r="I24">
        <f>F24 - G24</f>
        <v>-1.2300000000000182</v>
      </c>
      <c r="J24" t="str">
        <f>TRIM(C24)</f>
        <v>CONMEBOL</v>
      </c>
      <c r="K24" s="1">
        <f>SUMIF(C:C, "UEFA", F:F)</f>
        <v>75949.19</v>
      </c>
      <c r="L24" s="1">
        <f>COUNTIF(C:C, "CAF")</f>
        <v>54</v>
      </c>
      <c r="M24" s="1">
        <f>SUMIFS(F:F, C:C, "UEFA", D:D, "&lt;=20")</f>
        <v>20285.549999999996</v>
      </c>
    </row>
    <row r="25" spans="1:13" x14ac:dyDescent="0.2">
      <c r="A25" s="1" t="s">
        <v>57</v>
      </c>
      <c r="B25" s="1" t="s">
        <v>58</v>
      </c>
      <c r="C25" s="1" t="s">
        <v>50</v>
      </c>
      <c r="D25">
        <v>24</v>
      </c>
      <c r="E25">
        <v>24</v>
      </c>
      <c r="F25">
        <v>1559.54</v>
      </c>
      <c r="G25">
        <v>1554.69</v>
      </c>
      <c r="H25">
        <f>E25 - D25</f>
        <v>0</v>
      </c>
      <c r="I25">
        <f>F25 - G25</f>
        <v>4.8499999999999091</v>
      </c>
      <c r="J25" t="str">
        <f>TRIM(C25)</f>
        <v>AFC</v>
      </c>
      <c r="K25" s="1">
        <f>SUMIF(C:C, "UEFA", F:F)</f>
        <v>75949.19</v>
      </c>
      <c r="L25" s="1">
        <f>COUNTIF(C:C, "CAF")</f>
        <v>54</v>
      </c>
      <c r="M25" s="1">
        <f>SUMIFS(F:F, C:C, "UEFA", D:D, "&lt;=20")</f>
        <v>20285.549999999996</v>
      </c>
    </row>
    <row r="26" spans="1:13" x14ac:dyDescent="0.2">
      <c r="A26" s="1" t="s">
        <v>59</v>
      </c>
      <c r="B26" s="1" t="s">
        <v>60</v>
      </c>
      <c r="C26" s="1" t="s">
        <v>12</v>
      </c>
      <c r="D26">
        <v>25</v>
      </c>
      <c r="E26">
        <v>20</v>
      </c>
      <c r="F26">
        <v>1553.33</v>
      </c>
      <c r="G26">
        <v>1563.44</v>
      </c>
      <c r="H26">
        <f>E26 - D26</f>
        <v>-5</v>
      </c>
      <c r="I26">
        <f>F26 - G26</f>
        <v>-10.110000000000127</v>
      </c>
      <c r="J26" t="str">
        <f>TRIM(C26)</f>
        <v>UEFA</v>
      </c>
      <c r="K26" s="1">
        <f>SUMIF(C:C, "UEFA", F:F)</f>
        <v>75949.19</v>
      </c>
      <c r="L26" s="1">
        <f>COUNTIF(C:C, "CAF")</f>
        <v>54</v>
      </c>
      <c r="M26" s="1">
        <f>SUMIFS(F:F, C:C, "UEFA", D:D, "&lt;=20")</f>
        <v>20285.549999999996</v>
      </c>
    </row>
    <row r="27" spans="1:13" x14ac:dyDescent="0.2">
      <c r="A27" s="1" t="s">
        <v>61</v>
      </c>
      <c r="B27" s="1" t="s">
        <v>62</v>
      </c>
      <c r="C27" s="1" t="s">
        <v>12</v>
      </c>
      <c r="D27">
        <v>26</v>
      </c>
      <c r="E27">
        <v>26</v>
      </c>
      <c r="F27">
        <v>1548.59</v>
      </c>
      <c r="G27">
        <v>1546.18</v>
      </c>
      <c r="H27">
        <f>E27 - D27</f>
        <v>0</v>
      </c>
      <c r="I27">
        <f>F27 - G27</f>
        <v>2.4099999999998545</v>
      </c>
      <c r="J27" t="str">
        <f>TRIM(C27)</f>
        <v>UEFA</v>
      </c>
      <c r="K27" s="1">
        <f>SUMIF(C:C, "UEFA", F:F)</f>
        <v>75949.19</v>
      </c>
      <c r="L27" s="1">
        <f>COUNTIF(C:C, "CAF")</f>
        <v>54</v>
      </c>
      <c r="M27" s="1">
        <f>SUMIFS(F:F, C:C, "UEFA", D:D, "&lt;=20")</f>
        <v>20285.549999999996</v>
      </c>
    </row>
    <row r="28" spans="1:13" x14ac:dyDescent="0.2">
      <c r="A28" s="1" t="s">
        <v>63</v>
      </c>
      <c r="B28" s="1" t="s">
        <v>64</v>
      </c>
      <c r="C28" s="1" t="s">
        <v>12</v>
      </c>
      <c r="D28">
        <v>27</v>
      </c>
      <c r="E28">
        <v>27</v>
      </c>
      <c r="F28">
        <v>1536.99</v>
      </c>
      <c r="G28">
        <v>1542.79</v>
      </c>
      <c r="H28">
        <f>E28 - D28</f>
        <v>0</v>
      </c>
      <c r="I28">
        <f>F28 - G28</f>
        <v>-5.7999999999999545</v>
      </c>
      <c r="J28" t="str">
        <f>TRIM(C28)</f>
        <v>UEFA</v>
      </c>
      <c r="K28" s="1">
        <f>SUMIF(C:C, "UEFA", F:F)</f>
        <v>75949.19</v>
      </c>
      <c r="L28" s="1">
        <f>COUNTIF(C:C, "CAF")</f>
        <v>54</v>
      </c>
      <c r="M28" s="1">
        <f>SUMIFS(F:F, C:C, "UEFA", D:D, "&lt;=20")</f>
        <v>20285.549999999996</v>
      </c>
    </row>
    <row r="29" spans="1:13" x14ac:dyDescent="0.2">
      <c r="A29" s="1" t="s">
        <v>65</v>
      </c>
      <c r="B29" s="1" t="s">
        <v>66</v>
      </c>
      <c r="C29" s="1" t="s">
        <v>50</v>
      </c>
      <c r="D29">
        <v>28</v>
      </c>
      <c r="E29">
        <v>28</v>
      </c>
      <c r="F29">
        <v>1530.3</v>
      </c>
      <c r="G29">
        <v>1526.02</v>
      </c>
      <c r="H29">
        <f>E29 - D29</f>
        <v>0</v>
      </c>
      <c r="I29">
        <f>F29 - G29</f>
        <v>4.2799999999999727</v>
      </c>
      <c r="J29" t="str">
        <f>TRIM(C29)</f>
        <v>AFC</v>
      </c>
      <c r="K29" s="1">
        <f>SUMIF(C:C, "UEFA", F:F)</f>
        <v>75949.19</v>
      </c>
      <c r="L29" s="1">
        <f>COUNTIF(C:C, "CAF")</f>
        <v>54</v>
      </c>
      <c r="M29" s="1">
        <f>SUMIFS(F:F, C:C, "UEFA", D:D, "&lt;=20")</f>
        <v>20285.549999999996</v>
      </c>
    </row>
    <row r="30" spans="1:13" x14ac:dyDescent="0.2">
      <c r="A30" s="1" t="s">
        <v>67</v>
      </c>
      <c r="B30" s="1" t="s">
        <v>68</v>
      </c>
      <c r="C30" s="1" t="s">
        <v>9</v>
      </c>
      <c r="D30">
        <v>29</v>
      </c>
      <c r="E30">
        <v>29</v>
      </c>
      <c r="F30">
        <v>1509.61</v>
      </c>
      <c r="G30">
        <v>1514.86</v>
      </c>
      <c r="H30">
        <f>E30 - D30</f>
        <v>0</v>
      </c>
      <c r="I30">
        <f>F30 - G30</f>
        <v>-5.25</v>
      </c>
      <c r="J30" t="str">
        <f>TRIM(C30)</f>
        <v>CONMEBOL</v>
      </c>
      <c r="K30" s="1">
        <f>SUMIF(C:C, "UEFA", F:F)</f>
        <v>75949.19</v>
      </c>
      <c r="L30" s="1">
        <f>COUNTIF(C:C, "CAF")</f>
        <v>54</v>
      </c>
      <c r="M30" s="1">
        <f>SUMIFS(F:F, C:C, "UEFA", D:D, "&lt;=20")</f>
        <v>20285.549999999996</v>
      </c>
    </row>
    <row r="31" spans="1:13" x14ac:dyDescent="0.2">
      <c r="A31" s="1" t="s">
        <v>69</v>
      </c>
      <c r="B31" s="1" t="s">
        <v>70</v>
      </c>
      <c r="C31" s="1" t="s">
        <v>45</v>
      </c>
      <c r="D31">
        <v>30</v>
      </c>
      <c r="E31">
        <v>30</v>
      </c>
      <c r="F31">
        <v>1507.54</v>
      </c>
      <c r="G31">
        <v>1507.86</v>
      </c>
      <c r="H31">
        <f>E31 - D31</f>
        <v>0</v>
      </c>
      <c r="I31">
        <f>F31 - G31</f>
        <v>-0.31999999999993634</v>
      </c>
      <c r="J31" t="str">
        <f>TRIM(C31)</f>
        <v>CAF</v>
      </c>
      <c r="K31" s="1">
        <f>SUMIF(C:C, "UEFA", F:F)</f>
        <v>75949.19</v>
      </c>
      <c r="L31" s="1">
        <f>COUNTIF(C:C, "CAF")</f>
        <v>54</v>
      </c>
      <c r="M31" s="1">
        <f>SUMIFS(F:F, C:C, "UEFA", D:D, "&lt;=20")</f>
        <v>20285.549999999996</v>
      </c>
    </row>
    <row r="32" spans="1:13" x14ac:dyDescent="0.2">
      <c r="A32" s="1" t="s">
        <v>71</v>
      </c>
      <c r="B32" s="1" t="s">
        <v>72</v>
      </c>
      <c r="C32" s="1" t="s">
        <v>35</v>
      </c>
      <c r="D32">
        <v>31</v>
      </c>
      <c r="E32">
        <v>34</v>
      </c>
      <c r="F32">
        <v>1503.59</v>
      </c>
      <c r="G32">
        <v>1500.06</v>
      </c>
      <c r="H32">
        <f>E32 - D32</f>
        <v>3</v>
      </c>
      <c r="I32">
        <f>F32 - G32</f>
        <v>3.5299999999999727</v>
      </c>
      <c r="J32" t="str">
        <f>TRIM(C32)</f>
        <v>CONCACAF</v>
      </c>
      <c r="K32" s="1">
        <f>SUMIF(C:C, "UEFA", F:F)</f>
        <v>75949.19</v>
      </c>
      <c r="L32" s="1">
        <f>COUNTIF(C:C, "CAF")</f>
        <v>54</v>
      </c>
      <c r="M32" s="1">
        <f>SUMIFS(F:F, C:C, "UEFA", D:D, "&lt;=20")</f>
        <v>20285.549999999996</v>
      </c>
    </row>
    <row r="33" spans="1:13" x14ac:dyDescent="0.2">
      <c r="A33" s="1" t="s">
        <v>73</v>
      </c>
      <c r="B33" s="1" t="s">
        <v>74</v>
      </c>
      <c r="C33" s="1" t="s">
        <v>45</v>
      </c>
      <c r="D33">
        <v>32</v>
      </c>
      <c r="E33">
        <v>31</v>
      </c>
      <c r="F33">
        <v>1498.47</v>
      </c>
      <c r="G33">
        <v>1504.7</v>
      </c>
      <c r="H33">
        <f>E33 - D33</f>
        <v>-1</v>
      </c>
      <c r="I33">
        <f>F33 - G33</f>
        <v>-6.2300000000000182</v>
      </c>
      <c r="J33" t="str">
        <f>TRIM(C33)</f>
        <v>CAF</v>
      </c>
      <c r="K33" s="1">
        <f>SUMIF(C:C, "UEFA", F:F)</f>
        <v>75949.19</v>
      </c>
      <c r="L33" s="1">
        <f>COUNTIF(C:C, "CAF")</f>
        <v>54</v>
      </c>
      <c r="M33" s="1">
        <f>SUMIFS(F:F, C:C, "UEFA", D:D, "&lt;=20")</f>
        <v>20285.549999999996</v>
      </c>
    </row>
    <row r="34" spans="1:13" x14ac:dyDescent="0.2">
      <c r="A34" s="1" t="s">
        <v>75</v>
      </c>
      <c r="B34" s="1" t="s">
        <v>76</v>
      </c>
      <c r="C34" s="1" t="s">
        <v>12</v>
      </c>
      <c r="D34">
        <v>33</v>
      </c>
      <c r="E34">
        <v>35</v>
      </c>
      <c r="F34">
        <v>1496.11</v>
      </c>
      <c r="G34">
        <v>1493.42</v>
      </c>
      <c r="H34">
        <f>E34 - D34</f>
        <v>2</v>
      </c>
      <c r="I34">
        <f>F34 - G34</f>
        <v>2.6899999999998272</v>
      </c>
      <c r="J34" t="str">
        <f>TRIM(C34)</f>
        <v>UEFA</v>
      </c>
      <c r="K34" s="1">
        <f>SUMIF(C:C, "UEFA", F:F)</f>
        <v>75949.19</v>
      </c>
      <c r="L34" s="1">
        <f>COUNTIF(C:C, "CAF")</f>
        <v>54</v>
      </c>
      <c r="M34" s="1">
        <f>SUMIFS(F:F, C:C, "UEFA", D:D, "&lt;=20")</f>
        <v>20285.549999999996</v>
      </c>
    </row>
    <row r="35" spans="1:13" x14ac:dyDescent="0.2">
      <c r="A35" s="1" t="s">
        <v>77</v>
      </c>
      <c r="B35" s="1" t="s">
        <v>78</v>
      </c>
      <c r="C35" s="1" t="s">
        <v>12</v>
      </c>
      <c r="D35">
        <v>34</v>
      </c>
      <c r="E35">
        <v>33</v>
      </c>
      <c r="F35">
        <v>1492.95</v>
      </c>
      <c r="G35">
        <v>1502.47</v>
      </c>
      <c r="H35">
        <f>E35 - D35</f>
        <v>-1</v>
      </c>
      <c r="I35">
        <f>F35 - G35</f>
        <v>-9.5199999999999818</v>
      </c>
      <c r="J35" t="str">
        <f>TRIM(C35)</f>
        <v>UEFA</v>
      </c>
      <c r="K35" s="1">
        <f>SUMIF(C:C, "UEFA", F:F)</f>
        <v>75949.19</v>
      </c>
      <c r="L35" s="1">
        <f>COUNTIF(C:C, "CAF")</f>
        <v>54</v>
      </c>
      <c r="M35" s="1">
        <f>SUMIFS(F:F, C:C, "UEFA", D:D, "&lt;=20")</f>
        <v>20285.549999999996</v>
      </c>
    </row>
    <row r="36" spans="1:13" x14ac:dyDescent="0.2">
      <c r="A36" s="1" t="s">
        <v>79</v>
      </c>
      <c r="B36" s="1" t="s">
        <v>80</v>
      </c>
      <c r="C36" s="1" t="s">
        <v>12</v>
      </c>
      <c r="D36">
        <v>35</v>
      </c>
      <c r="E36">
        <v>32</v>
      </c>
      <c r="F36">
        <v>1492.21</v>
      </c>
      <c r="G36">
        <v>1502.9</v>
      </c>
      <c r="H36">
        <f>E36 - D36</f>
        <v>-3</v>
      </c>
      <c r="I36">
        <f>F36 - G36</f>
        <v>-10.690000000000055</v>
      </c>
      <c r="J36" t="str">
        <f>TRIM(C36)</f>
        <v>UEFA</v>
      </c>
      <c r="K36" s="1">
        <f>SUMIF(C:C, "UEFA", F:F)</f>
        <v>75949.19</v>
      </c>
      <c r="L36" s="1">
        <f>COUNTIF(C:C, "CAF")</f>
        <v>54</v>
      </c>
      <c r="M36" s="1">
        <f>SUMIFS(F:F, C:C, "UEFA", D:D, "&lt;=20")</f>
        <v>20285.549999999996</v>
      </c>
    </row>
    <row r="37" spans="1:13" x14ac:dyDescent="0.2">
      <c r="A37" s="1" t="s">
        <v>81</v>
      </c>
      <c r="B37" s="1" t="s">
        <v>82</v>
      </c>
      <c r="C37" s="1" t="s">
        <v>12</v>
      </c>
      <c r="D37">
        <v>36</v>
      </c>
      <c r="E37">
        <v>37</v>
      </c>
      <c r="F37">
        <v>1492.2</v>
      </c>
      <c r="G37">
        <v>1486.76</v>
      </c>
      <c r="H37">
        <f>E37 - D37</f>
        <v>1</v>
      </c>
      <c r="I37">
        <f>F37 - G37</f>
        <v>5.4400000000000546</v>
      </c>
      <c r="J37" t="str">
        <f>TRIM(C37)</f>
        <v>UEFA</v>
      </c>
      <c r="K37" s="1">
        <f>SUMIF(C:C, "UEFA", F:F)</f>
        <v>75949.19</v>
      </c>
      <c r="L37" s="1">
        <f>COUNTIF(C:C, "CAF")</f>
        <v>54</v>
      </c>
      <c r="M37" s="1">
        <f>SUMIFS(F:F, C:C, "UEFA", D:D, "&lt;=20")</f>
        <v>20285.549999999996</v>
      </c>
    </row>
    <row r="38" spans="1:13" x14ac:dyDescent="0.2">
      <c r="A38" s="1" t="s">
        <v>83</v>
      </c>
      <c r="B38" s="1" t="s">
        <v>84</v>
      </c>
      <c r="C38" s="1" t="s">
        <v>45</v>
      </c>
      <c r="D38">
        <v>37</v>
      </c>
      <c r="E38">
        <v>41</v>
      </c>
      <c r="F38">
        <v>1489.1</v>
      </c>
      <c r="G38">
        <v>1480.59</v>
      </c>
      <c r="H38">
        <f>E38 - D38</f>
        <v>4</v>
      </c>
      <c r="I38">
        <f>F38 - G38</f>
        <v>8.5099999999999909</v>
      </c>
      <c r="J38" t="str">
        <f>TRIM(C38)</f>
        <v>CAF</v>
      </c>
      <c r="K38" s="1">
        <f>SUMIF(C:C, "UEFA", F:F)</f>
        <v>75949.19</v>
      </c>
      <c r="L38" s="1">
        <f>COUNTIF(C:C, "CAF")</f>
        <v>54</v>
      </c>
      <c r="M38" s="1">
        <f>SUMIFS(F:F, C:C, "UEFA", D:D, "&lt;=20")</f>
        <v>20285.549999999996</v>
      </c>
    </row>
    <row r="39" spans="1:13" x14ac:dyDescent="0.2">
      <c r="A39" s="1" t="s">
        <v>85</v>
      </c>
      <c r="B39" s="1" t="s">
        <v>86</v>
      </c>
      <c r="C39" s="1" t="s">
        <v>50</v>
      </c>
      <c r="D39">
        <v>38</v>
      </c>
      <c r="E39">
        <v>39</v>
      </c>
      <c r="F39">
        <v>1488.72</v>
      </c>
      <c r="G39">
        <v>1483.73</v>
      </c>
      <c r="H39">
        <f>E39 - D39</f>
        <v>1</v>
      </c>
      <c r="I39">
        <f>F39 - G39</f>
        <v>4.9900000000000091</v>
      </c>
      <c r="J39" t="str">
        <f>TRIM(C39)</f>
        <v>AFC</v>
      </c>
      <c r="K39" s="1">
        <f>SUMIF(C:C, "UEFA", F:F)</f>
        <v>75949.19</v>
      </c>
      <c r="L39" s="1">
        <f>COUNTIF(C:C, "CAF")</f>
        <v>54</v>
      </c>
      <c r="M39" s="1">
        <f>SUMIFS(F:F, C:C, "UEFA", D:D, "&lt;=20")</f>
        <v>20285.549999999996</v>
      </c>
    </row>
    <row r="40" spans="1:13" x14ac:dyDescent="0.2">
      <c r="A40" s="1" t="s">
        <v>87</v>
      </c>
      <c r="B40" s="1" t="s">
        <v>88</v>
      </c>
      <c r="C40" s="1" t="s">
        <v>45</v>
      </c>
      <c r="D40">
        <v>39</v>
      </c>
      <c r="E40">
        <v>40</v>
      </c>
      <c r="F40">
        <v>1486.44</v>
      </c>
      <c r="G40">
        <v>1482.63</v>
      </c>
      <c r="H40">
        <f>E40 - D40</f>
        <v>1</v>
      </c>
      <c r="I40">
        <f>F40 - G40</f>
        <v>3.8099999999999454</v>
      </c>
      <c r="J40" t="str">
        <f>TRIM(C40)</f>
        <v>CAF</v>
      </c>
      <c r="K40" s="1">
        <f>SUMIF(C:C, "UEFA", F:F)</f>
        <v>75949.19</v>
      </c>
      <c r="L40" s="1">
        <f>COUNTIF(C:C, "CAF")</f>
        <v>54</v>
      </c>
      <c r="M40" s="1">
        <f>SUMIFS(F:F, C:C, "UEFA", D:D, "&lt;=20")</f>
        <v>20285.549999999996</v>
      </c>
    </row>
    <row r="41" spans="1:13" x14ac:dyDescent="0.2">
      <c r="A41" s="1" t="s">
        <v>89</v>
      </c>
      <c r="B41" s="1" t="s">
        <v>90</v>
      </c>
      <c r="C41" s="1" t="s">
        <v>12</v>
      </c>
      <c r="D41">
        <v>40</v>
      </c>
      <c r="E41">
        <v>45</v>
      </c>
      <c r="F41">
        <v>1479.53</v>
      </c>
      <c r="G41">
        <v>1462.96</v>
      </c>
      <c r="H41">
        <f>E41 - D41</f>
        <v>5</v>
      </c>
      <c r="I41">
        <f>F41 - G41</f>
        <v>16.569999999999936</v>
      </c>
      <c r="J41" t="str">
        <f>TRIM(C41)</f>
        <v>UEFA</v>
      </c>
      <c r="K41" s="1">
        <f>SUMIF(C:C, "UEFA", F:F)</f>
        <v>75949.19</v>
      </c>
      <c r="L41" s="1">
        <f>COUNTIF(C:C, "CAF")</f>
        <v>54</v>
      </c>
      <c r="M41" s="1">
        <f>SUMIFS(F:F, C:C, "UEFA", D:D, "&lt;=20")</f>
        <v>20285.549999999996</v>
      </c>
    </row>
    <row r="42" spans="1:13" x14ac:dyDescent="0.2">
      <c r="A42" s="1" t="s">
        <v>91</v>
      </c>
      <c r="B42" s="1" t="s">
        <v>92</v>
      </c>
      <c r="C42" s="1" t="s">
        <v>35</v>
      </c>
      <c r="D42">
        <v>41</v>
      </c>
      <c r="E42">
        <v>43</v>
      </c>
      <c r="F42">
        <v>1475</v>
      </c>
      <c r="G42">
        <v>1473.82</v>
      </c>
      <c r="H42">
        <f>E42 - D42</f>
        <v>2</v>
      </c>
      <c r="I42">
        <f>F42 - G42</f>
        <v>1.1800000000000637</v>
      </c>
      <c r="J42" t="str">
        <f>TRIM(C42)</f>
        <v>CONCACAF</v>
      </c>
      <c r="K42" s="1">
        <f>SUMIF(C:C, "UEFA", F:F)</f>
        <v>75949.19</v>
      </c>
      <c r="L42" s="1">
        <f>COUNTIF(C:C, "CAF")</f>
        <v>54</v>
      </c>
      <c r="M42" s="1">
        <f>SUMIFS(F:F, C:C, "UEFA", D:D, "&lt;=20")</f>
        <v>20285.549999999996</v>
      </c>
    </row>
    <row r="43" spans="1:13" x14ac:dyDescent="0.2">
      <c r="A43" s="1" t="s">
        <v>93</v>
      </c>
      <c r="B43" s="1" t="s">
        <v>94</v>
      </c>
      <c r="C43" s="1" t="s">
        <v>12</v>
      </c>
      <c r="D43">
        <v>42</v>
      </c>
      <c r="E43">
        <v>36</v>
      </c>
      <c r="F43">
        <v>1473.04</v>
      </c>
      <c r="G43">
        <v>1488.57</v>
      </c>
      <c r="H43">
        <f>E43 - D43</f>
        <v>-6</v>
      </c>
      <c r="I43">
        <f>F43 - G43</f>
        <v>-15.529999999999973</v>
      </c>
      <c r="J43" t="str">
        <f>TRIM(C43)</f>
        <v>UEFA</v>
      </c>
      <c r="K43" s="1">
        <f>SUMIF(C:C, "UEFA", F:F)</f>
        <v>75949.19</v>
      </c>
      <c r="L43" s="1">
        <f>COUNTIF(C:C, "CAF")</f>
        <v>54</v>
      </c>
      <c r="M43" s="1">
        <f>SUMIFS(F:F, C:C, "UEFA", D:D, "&lt;=20")</f>
        <v>20285.549999999996</v>
      </c>
    </row>
    <row r="44" spans="1:13" x14ac:dyDescent="0.2">
      <c r="A44" s="1" t="s">
        <v>95</v>
      </c>
      <c r="B44" s="1" t="s">
        <v>96</v>
      </c>
      <c r="C44" s="1" t="s">
        <v>45</v>
      </c>
      <c r="D44">
        <v>43</v>
      </c>
      <c r="E44">
        <v>38</v>
      </c>
      <c r="F44">
        <v>1471.44</v>
      </c>
      <c r="G44">
        <v>1484.95</v>
      </c>
      <c r="H44">
        <f>E44 - D44</f>
        <v>-5</v>
      </c>
      <c r="I44">
        <f>F44 - G44</f>
        <v>-13.509999999999991</v>
      </c>
      <c r="J44" t="str">
        <f>TRIM(C44)</f>
        <v>CAF</v>
      </c>
      <c r="K44" s="1">
        <f>SUMIF(C:C, "UEFA", F:F)</f>
        <v>75949.19</v>
      </c>
      <c r="L44" s="1">
        <f>COUNTIF(C:C, "CAF")</f>
        <v>54</v>
      </c>
      <c r="M44" s="1">
        <f>SUMIFS(F:F, C:C, "UEFA", D:D, "&lt;=20")</f>
        <v>20285.549999999996</v>
      </c>
    </row>
    <row r="45" spans="1:13" x14ac:dyDescent="0.2">
      <c r="A45" s="1" t="s">
        <v>97</v>
      </c>
      <c r="B45" s="1" t="s">
        <v>98</v>
      </c>
      <c r="C45" s="1" t="s">
        <v>9</v>
      </c>
      <c r="D45">
        <v>44</v>
      </c>
      <c r="E45">
        <v>44</v>
      </c>
      <c r="F45">
        <v>1464.39</v>
      </c>
      <c r="G45">
        <v>1463.74</v>
      </c>
      <c r="H45">
        <f>E45 - D45</f>
        <v>0</v>
      </c>
      <c r="I45">
        <f>F45 - G45</f>
        <v>0.65000000000009095</v>
      </c>
      <c r="J45" t="str">
        <f>TRIM(C45)</f>
        <v>CONMEBOL</v>
      </c>
      <c r="K45" s="1">
        <f>SUMIF(C:C, "UEFA", F:F)</f>
        <v>75949.19</v>
      </c>
      <c r="L45" s="1">
        <f>COUNTIF(C:C, "CAF")</f>
        <v>54</v>
      </c>
      <c r="M45" s="1">
        <f>SUMIFS(F:F, C:C, "UEFA", D:D, "&lt;=20")</f>
        <v>20285.549999999996</v>
      </c>
    </row>
    <row r="46" spans="1:13" x14ac:dyDescent="0.2">
      <c r="A46" s="1" t="s">
        <v>99</v>
      </c>
      <c r="B46" s="1" t="s">
        <v>100</v>
      </c>
      <c r="C46" s="1" t="s">
        <v>12</v>
      </c>
      <c r="D46">
        <v>45</v>
      </c>
      <c r="E46">
        <v>42</v>
      </c>
      <c r="F46">
        <v>1460.14</v>
      </c>
      <c r="G46">
        <v>1475.13</v>
      </c>
      <c r="H46">
        <f>E46 - D46</f>
        <v>-3</v>
      </c>
      <c r="I46">
        <f>F46 - G46</f>
        <v>-14.990000000000009</v>
      </c>
      <c r="J46" t="str">
        <f>TRIM(C46)</f>
        <v>UEFA</v>
      </c>
      <c r="K46" s="1">
        <f>SUMIF(C:C, "UEFA", F:F)</f>
        <v>75949.19</v>
      </c>
      <c r="L46" s="1">
        <f>COUNTIF(C:C, "CAF")</f>
        <v>54</v>
      </c>
      <c r="M46" s="1">
        <f>SUMIFS(F:F, C:C, "UEFA", D:D, "&lt;=20")</f>
        <v>20285.549999999996</v>
      </c>
    </row>
    <row r="47" spans="1:13" x14ac:dyDescent="0.2">
      <c r="A47" s="1" t="s">
        <v>101</v>
      </c>
      <c r="B47" s="1" t="s">
        <v>102</v>
      </c>
      <c r="C47" s="1" t="s">
        <v>45</v>
      </c>
      <c r="D47">
        <v>46</v>
      </c>
      <c r="E47">
        <v>46</v>
      </c>
      <c r="F47">
        <v>1448.85</v>
      </c>
      <c r="G47">
        <v>1442.88</v>
      </c>
      <c r="H47">
        <f>E47 - D47</f>
        <v>0</v>
      </c>
      <c r="I47">
        <f>F47 - G47</f>
        <v>5.9699999999997999</v>
      </c>
      <c r="J47" t="str">
        <f>TRIM(C47)</f>
        <v>CAF</v>
      </c>
      <c r="K47" s="1">
        <f>SUMIF(C:C, "UEFA", F:F)</f>
        <v>75949.19</v>
      </c>
      <c r="L47" s="1">
        <f>COUNTIF(C:C, "CAF")</f>
        <v>54</v>
      </c>
      <c r="M47" s="1">
        <f>SUMIFS(F:F, C:C, "UEFA", D:D, "&lt;=20")</f>
        <v>20285.549999999996</v>
      </c>
    </row>
    <row r="48" spans="1:13" x14ac:dyDescent="0.2">
      <c r="A48" s="1" t="s">
        <v>103</v>
      </c>
      <c r="B48" s="1" t="s">
        <v>104</v>
      </c>
      <c r="C48" s="1" t="s">
        <v>9</v>
      </c>
      <c r="D48">
        <v>47</v>
      </c>
      <c r="E48">
        <v>50</v>
      </c>
      <c r="F48">
        <v>1448.77</v>
      </c>
      <c r="G48">
        <v>1440.13</v>
      </c>
      <c r="H48">
        <f>E48 - D48</f>
        <v>3</v>
      </c>
      <c r="I48">
        <f>F48 - G48</f>
        <v>8.6399999999998727</v>
      </c>
      <c r="J48" t="str">
        <f>TRIM(C48)</f>
        <v>CONMEBOL</v>
      </c>
      <c r="K48" s="1">
        <f>SUMIF(C:C, "UEFA", F:F)</f>
        <v>75949.19</v>
      </c>
      <c r="L48" s="1">
        <f>COUNTIF(C:C, "CAF")</f>
        <v>54</v>
      </c>
      <c r="M48" s="1">
        <f>SUMIFS(F:F, C:C, "UEFA", D:D, "&lt;=20")</f>
        <v>20285.549999999996</v>
      </c>
    </row>
    <row r="49" spans="1:13" x14ac:dyDescent="0.2">
      <c r="A49" s="1" t="s">
        <v>105</v>
      </c>
      <c r="B49" s="1" t="s">
        <v>106</v>
      </c>
      <c r="C49" s="1" t="s">
        <v>45</v>
      </c>
      <c r="D49">
        <v>48</v>
      </c>
      <c r="E49">
        <v>52</v>
      </c>
      <c r="F49">
        <v>1443.06</v>
      </c>
      <c r="G49">
        <v>1435.91</v>
      </c>
      <c r="H49">
        <f>E49 - D49</f>
        <v>4</v>
      </c>
      <c r="I49">
        <f>F49 - G49</f>
        <v>7.1499999999998636</v>
      </c>
      <c r="J49" t="str">
        <f>TRIM(C49)</f>
        <v>CAF</v>
      </c>
      <c r="K49" s="1">
        <f>SUMIF(C:C, "UEFA", F:F)</f>
        <v>75949.19</v>
      </c>
      <c r="L49" s="1">
        <f>COUNTIF(C:C, "CAF")</f>
        <v>54</v>
      </c>
      <c r="M49" s="1">
        <f>SUMIFS(F:F, C:C, "UEFA", D:D, "&lt;=20")</f>
        <v>20285.549999999996</v>
      </c>
    </row>
    <row r="50" spans="1:13" x14ac:dyDescent="0.2">
      <c r="A50" s="1" t="s">
        <v>107</v>
      </c>
      <c r="B50" s="1" t="s">
        <v>108</v>
      </c>
      <c r="C50" s="1" t="s">
        <v>12</v>
      </c>
      <c r="D50">
        <v>49</v>
      </c>
      <c r="E50">
        <v>47</v>
      </c>
      <c r="F50">
        <v>1440.19</v>
      </c>
      <c r="G50">
        <v>1442.48</v>
      </c>
      <c r="H50">
        <f>E50 - D50</f>
        <v>-2</v>
      </c>
      <c r="I50">
        <f>F50 - G50</f>
        <v>-2.2899999999999636</v>
      </c>
      <c r="J50" t="str">
        <f>TRIM(C50)</f>
        <v>UEFA</v>
      </c>
      <c r="K50" s="1">
        <f>SUMIF(C:C, "UEFA", F:F)</f>
        <v>75949.19</v>
      </c>
      <c r="L50" s="1">
        <f>COUNTIF(C:C, "CAF")</f>
        <v>54</v>
      </c>
      <c r="M50" s="1">
        <f>SUMIFS(F:F, C:C, "UEFA", D:D, "&lt;=20")</f>
        <v>20285.549999999996</v>
      </c>
    </row>
    <row r="51" spans="1:13" x14ac:dyDescent="0.2">
      <c r="A51" s="1" t="s">
        <v>109</v>
      </c>
      <c r="B51" s="1" t="s">
        <v>110</v>
      </c>
      <c r="C51" s="1" t="s">
        <v>50</v>
      </c>
      <c r="D51">
        <v>50</v>
      </c>
      <c r="E51">
        <v>48</v>
      </c>
      <c r="F51">
        <v>1439.89</v>
      </c>
      <c r="G51">
        <v>1441.97</v>
      </c>
      <c r="H51">
        <f>E51 - D51</f>
        <v>-2</v>
      </c>
      <c r="I51">
        <f>F51 - G51</f>
        <v>-2.0799999999999272</v>
      </c>
      <c r="J51" t="str">
        <f>TRIM(C51)</f>
        <v>AFC</v>
      </c>
      <c r="K51" s="1">
        <f>SUMIF(C:C, "UEFA", F:F)</f>
        <v>75949.19</v>
      </c>
      <c r="L51" s="1">
        <f>COUNTIF(C:C, "CAF")</f>
        <v>54</v>
      </c>
      <c r="M51" s="1">
        <f>SUMIFS(F:F, C:C, "UEFA", D:D, "&lt;=20")</f>
        <v>20285.549999999996</v>
      </c>
    </row>
    <row r="52" spans="1:13" x14ac:dyDescent="0.2">
      <c r="A52" s="1" t="s">
        <v>111</v>
      </c>
      <c r="B52" s="1" t="s">
        <v>112</v>
      </c>
      <c r="C52" s="1" t="s">
        <v>50</v>
      </c>
      <c r="D52">
        <v>51</v>
      </c>
      <c r="E52">
        <v>53</v>
      </c>
      <c r="F52">
        <v>1437.78</v>
      </c>
      <c r="G52">
        <v>1435.74</v>
      </c>
      <c r="H52">
        <f>E52 - D52</f>
        <v>2</v>
      </c>
      <c r="I52">
        <f>F52 - G52</f>
        <v>2.0399999999999636</v>
      </c>
      <c r="J52" t="str">
        <f>TRIM(C52)</f>
        <v>AFC</v>
      </c>
      <c r="K52" s="1">
        <f>SUMIF(C:C, "UEFA", F:F)</f>
        <v>75949.19</v>
      </c>
      <c r="L52" s="1">
        <f>COUNTIF(C:C, "CAF")</f>
        <v>54</v>
      </c>
      <c r="M52" s="1">
        <f>SUMIFS(F:F, C:C, "UEFA", D:D, "&lt;=20")</f>
        <v>20285.549999999996</v>
      </c>
    </row>
    <row r="53" spans="1:13" x14ac:dyDescent="0.2">
      <c r="A53" s="1" t="s">
        <v>113</v>
      </c>
      <c r="B53" s="1" t="s">
        <v>114</v>
      </c>
      <c r="C53" s="1" t="s">
        <v>12</v>
      </c>
      <c r="D53">
        <v>52</v>
      </c>
      <c r="E53">
        <v>49</v>
      </c>
      <c r="F53">
        <v>1437.6</v>
      </c>
      <c r="G53">
        <v>1441.45</v>
      </c>
      <c r="H53">
        <f>E53 - D53</f>
        <v>-3</v>
      </c>
      <c r="I53">
        <f>F53 - G53</f>
        <v>-3.8500000000001364</v>
      </c>
      <c r="J53" t="str">
        <f>TRIM(C53)</f>
        <v>UEFA</v>
      </c>
      <c r="K53" s="1">
        <f>SUMIF(C:C, "UEFA", F:F)</f>
        <v>75949.19</v>
      </c>
      <c r="L53" s="1">
        <f>COUNTIF(C:C, "CAF")</f>
        <v>54</v>
      </c>
      <c r="M53" s="1">
        <f>SUMIFS(F:F, C:C, "UEFA", D:D, "&lt;=20")</f>
        <v>20285.549999999996</v>
      </c>
    </row>
    <row r="54" spans="1:13" x14ac:dyDescent="0.2">
      <c r="A54" s="1" t="s">
        <v>115</v>
      </c>
      <c r="B54" s="1" t="s">
        <v>116</v>
      </c>
      <c r="C54" s="1" t="s">
        <v>12</v>
      </c>
      <c r="D54">
        <v>53</v>
      </c>
      <c r="E54">
        <v>54</v>
      </c>
      <c r="F54">
        <v>1434.68</v>
      </c>
      <c r="G54">
        <v>1427.84</v>
      </c>
      <c r="H54">
        <f>E54 - D54</f>
        <v>1</v>
      </c>
      <c r="I54">
        <f>F54 - G54</f>
        <v>6.8400000000001455</v>
      </c>
      <c r="J54" t="str">
        <f>TRIM(C54)</f>
        <v>UEFA</v>
      </c>
      <c r="K54" s="1">
        <f>SUMIF(C:C, "UEFA", F:F)</f>
        <v>75949.19</v>
      </c>
      <c r="L54" s="1">
        <f>COUNTIF(C:C, "CAF")</f>
        <v>54</v>
      </c>
      <c r="M54" s="1">
        <f>SUMIFS(F:F, C:C, "UEFA", D:D, "&lt;=20")</f>
        <v>20285.549999999996</v>
      </c>
    </row>
    <row r="55" spans="1:13" x14ac:dyDescent="0.2">
      <c r="A55" s="1" t="s">
        <v>117</v>
      </c>
      <c r="B55" s="1" t="s">
        <v>118</v>
      </c>
      <c r="C55" s="1" t="s">
        <v>45</v>
      </c>
      <c r="D55">
        <v>54</v>
      </c>
      <c r="E55">
        <v>55</v>
      </c>
      <c r="F55">
        <v>1432.25</v>
      </c>
      <c r="G55">
        <v>1425.64</v>
      </c>
      <c r="H55">
        <f>E55 - D55</f>
        <v>1</v>
      </c>
      <c r="I55">
        <f>F55 - G55</f>
        <v>6.6099999999999</v>
      </c>
      <c r="J55" t="str">
        <f>TRIM(C55)</f>
        <v>CAF</v>
      </c>
      <c r="K55" s="1">
        <f>SUMIF(C:C, "UEFA", F:F)</f>
        <v>75949.19</v>
      </c>
      <c r="L55" s="1">
        <f>COUNTIF(C:C, "CAF")</f>
        <v>54</v>
      </c>
      <c r="M55" s="1">
        <f>SUMIFS(F:F, C:C, "UEFA", D:D, "&lt;=20")</f>
        <v>20285.549999999996</v>
      </c>
    </row>
    <row r="56" spans="1:13" x14ac:dyDescent="0.2">
      <c r="A56" s="1" t="s">
        <v>119</v>
      </c>
      <c r="B56" s="1" t="s">
        <v>120</v>
      </c>
      <c r="C56" s="1" t="s">
        <v>12</v>
      </c>
      <c r="D56">
        <v>55</v>
      </c>
      <c r="E56">
        <v>51</v>
      </c>
      <c r="F56">
        <v>1425.59</v>
      </c>
      <c r="G56">
        <v>1439.99</v>
      </c>
      <c r="H56">
        <f>E56 - D56</f>
        <v>-4</v>
      </c>
      <c r="I56">
        <f>F56 - G56</f>
        <v>-14.400000000000091</v>
      </c>
      <c r="J56" t="str">
        <f>TRIM(C56)</f>
        <v>UEFA</v>
      </c>
      <c r="K56" s="1">
        <f>SUMIF(C:C, "UEFA", F:F)</f>
        <v>75949.19</v>
      </c>
      <c r="L56" s="1">
        <f>COUNTIF(C:C, "CAF")</f>
        <v>54</v>
      </c>
      <c r="M56" s="1">
        <f>SUMIFS(F:F, C:C, "UEFA", D:D, "&lt;=20")</f>
        <v>20285.549999999996</v>
      </c>
    </row>
    <row r="57" spans="1:13" x14ac:dyDescent="0.2">
      <c r="A57" s="1" t="s">
        <v>121</v>
      </c>
      <c r="B57" s="1" t="s">
        <v>122</v>
      </c>
      <c r="C57" s="1" t="s">
        <v>12</v>
      </c>
      <c r="D57">
        <v>56</v>
      </c>
      <c r="E57">
        <v>59</v>
      </c>
      <c r="F57">
        <v>1405.6</v>
      </c>
      <c r="G57">
        <v>1398.41</v>
      </c>
      <c r="H57">
        <f>E57 - D57</f>
        <v>3</v>
      </c>
      <c r="I57">
        <f>F57 - G57</f>
        <v>7.1899999999998272</v>
      </c>
      <c r="J57" t="str">
        <f>TRIM(C57)</f>
        <v>UEFA</v>
      </c>
      <c r="K57" s="1">
        <f>SUMIF(C:C, "UEFA", F:F)</f>
        <v>75949.19</v>
      </c>
      <c r="L57" s="1">
        <f>COUNTIF(C:C, "CAF")</f>
        <v>54</v>
      </c>
      <c r="M57" s="1">
        <f>SUMIFS(F:F, C:C, "UEFA", D:D, "&lt;=20")</f>
        <v>20285.549999999996</v>
      </c>
    </row>
    <row r="58" spans="1:13" x14ac:dyDescent="0.2">
      <c r="A58" s="1" t="s">
        <v>123</v>
      </c>
      <c r="B58" s="1" t="s">
        <v>124</v>
      </c>
      <c r="C58" s="1" t="s">
        <v>9</v>
      </c>
      <c r="D58">
        <v>57</v>
      </c>
      <c r="E58">
        <v>56</v>
      </c>
      <c r="F58">
        <v>1404.37</v>
      </c>
      <c r="G58">
        <v>1405.17</v>
      </c>
      <c r="H58">
        <f>E58 - D58</f>
        <v>-1</v>
      </c>
      <c r="I58">
        <f>F58 - G58</f>
        <v>-0.8000000000001819</v>
      </c>
      <c r="J58" t="str">
        <f>TRIM(C58)</f>
        <v>CONMEBOL</v>
      </c>
      <c r="K58" s="1">
        <f>SUMIF(C:C, "UEFA", F:F)</f>
        <v>75949.19</v>
      </c>
      <c r="L58" s="1">
        <f>COUNTIF(C:C, "CAF")</f>
        <v>54</v>
      </c>
      <c r="M58" s="1">
        <f>SUMIFS(F:F, C:C, "UEFA", D:D, "&lt;=20")</f>
        <v>20285.549999999996</v>
      </c>
    </row>
    <row r="59" spans="1:13" x14ac:dyDescent="0.2">
      <c r="A59" s="1" t="s">
        <v>125</v>
      </c>
      <c r="B59" s="1" t="s">
        <v>126</v>
      </c>
      <c r="C59" s="1" t="s">
        <v>12</v>
      </c>
      <c r="D59">
        <v>58</v>
      </c>
      <c r="E59">
        <v>57</v>
      </c>
      <c r="F59">
        <v>1403.51</v>
      </c>
      <c r="G59">
        <v>1403.98</v>
      </c>
      <c r="H59">
        <f>E59 - D59</f>
        <v>-1</v>
      </c>
      <c r="I59">
        <f>F59 - G59</f>
        <v>-0.47000000000002728</v>
      </c>
      <c r="J59" t="str">
        <f>TRIM(C59)</f>
        <v>UEFA</v>
      </c>
      <c r="K59" s="1">
        <f>SUMIF(C:C, "UEFA", F:F)</f>
        <v>75949.19</v>
      </c>
      <c r="L59" s="1">
        <f>COUNTIF(C:C, "CAF")</f>
        <v>54</v>
      </c>
      <c r="M59" s="1">
        <f>SUMIFS(F:F, C:C, "UEFA", D:D, "&lt;=20")</f>
        <v>20285.549999999996</v>
      </c>
    </row>
    <row r="60" spans="1:13" x14ac:dyDescent="0.2">
      <c r="A60" s="1" t="s">
        <v>127</v>
      </c>
      <c r="B60" s="1" t="s">
        <v>128</v>
      </c>
      <c r="C60" s="1" t="s">
        <v>12</v>
      </c>
      <c r="D60">
        <v>59</v>
      </c>
      <c r="E60">
        <v>58</v>
      </c>
      <c r="F60">
        <v>1396.55</v>
      </c>
      <c r="G60">
        <v>1399.1</v>
      </c>
      <c r="H60">
        <f>E60 - D60</f>
        <v>-1</v>
      </c>
      <c r="I60">
        <f>F60 - G60</f>
        <v>-2.5499999999999545</v>
      </c>
      <c r="J60" t="str">
        <f>TRIM(C60)</f>
        <v>UEFA</v>
      </c>
      <c r="K60" s="1">
        <f>SUMIF(C:C, "UEFA", F:F)</f>
        <v>75949.19</v>
      </c>
      <c r="L60" s="1">
        <f>COUNTIF(C:C, "CAF")</f>
        <v>54</v>
      </c>
      <c r="M60" s="1">
        <f>SUMIFS(F:F, C:C, "UEFA", D:D, "&lt;=20")</f>
        <v>20285.549999999996</v>
      </c>
    </row>
    <row r="61" spans="1:13" x14ac:dyDescent="0.2">
      <c r="A61" s="1" t="s">
        <v>129</v>
      </c>
      <c r="B61" s="1" t="s">
        <v>130</v>
      </c>
      <c r="C61" s="1" t="s">
        <v>35</v>
      </c>
      <c r="D61">
        <v>60</v>
      </c>
      <c r="E61">
        <v>61</v>
      </c>
      <c r="F61">
        <v>1393.28</v>
      </c>
      <c r="G61">
        <v>1389.27</v>
      </c>
      <c r="H61">
        <f>E61 - D61</f>
        <v>1</v>
      </c>
      <c r="I61">
        <f>F61 - G61</f>
        <v>4.0099999999999909</v>
      </c>
      <c r="J61" t="str">
        <f>TRIM(C61)</f>
        <v>CONCACAF</v>
      </c>
      <c r="K61" s="1">
        <f>SUMIF(C:C, "UEFA", F:F)</f>
        <v>75949.19</v>
      </c>
      <c r="L61" s="1">
        <f>COUNTIF(C:C, "CAF")</f>
        <v>54</v>
      </c>
      <c r="M61" s="1">
        <f>SUMIFS(F:F, C:C, "UEFA", D:D, "&lt;=20")</f>
        <v>20285.549999999996</v>
      </c>
    </row>
    <row r="62" spans="1:13" x14ac:dyDescent="0.2">
      <c r="A62" s="1" t="s">
        <v>131</v>
      </c>
      <c r="B62" s="1" t="s">
        <v>132</v>
      </c>
      <c r="C62" s="1" t="s">
        <v>45</v>
      </c>
      <c r="D62">
        <v>61</v>
      </c>
      <c r="E62">
        <v>60</v>
      </c>
      <c r="F62">
        <v>1393</v>
      </c>
      <c r="G62">
        <v>1393.47</v>
      </c>
      <c r="H62">
        <f>E62 - D62</f>
        <v>-1</v>
      </c>
      <c r="I62">
        <f>F62 - G62</f>
        <v>-0.47000000000002728</v>
      </c>
      <c r="J62" t="str">
        <f>TRIM(C62)</f>
        <v>CAF</v>
      </c>
      <c r="K62" s="1">
        <f>SUMIF(C:C, "UEFA", F:F)</f>
        <v>75949.19</v>
      </c>
      <c r="L62" s="1">
        <f>COUNTIF(C:C, "CAF")</f>
        <v>54</v>
      </c>
      <c r="M62" s="1">
        <f>SUMIFS(F:F, C:C, "UEFA", D:D, "&lt;=20")</f>
        <v>20285.549999999996</v>
      </c>
    </row>
    <row r="63" spans="1:13" x14ac:dyDescent="0.2">
      <c r="A63" s="1" t="s">
        <v>133</v>
      </c>
      <c r="B63" s="1" t="s">
        <v>134</v>
      </c>
      <c r="C63" s="1" t="s">
        <v>12</v>
      </c>
      <c r="D63">
        <v>62</v>
      </c>
      <c r="E63">
        <v>63</v>
      </c>
      <c r="F63">
        <v>1384.41</v>
      </c>
      <c r="G63">
        <v>1379.61</v>
      </c>
      <c r="H63">
        <f>E63 - D63</f>
        <v>1</v>
      </c>
      <c r="I63">
        <f>F63 - G63</f>
        <v>4.8000000000001819</v>
      </c>
      <c r="J63" t="str">
        <f>TRIM(C63)</f>
        <v>UEFA</v>
      </c>
      <c r="K63" s="1">
        <f>SUMIF(C:C, "UEFA", F:F)</f>
        <v>75949.19</v>
      </c>
      <c r="L63" s="1">
        <f>COUNTIF(C:C, "CAF")</f>
        <v>54</v>
      </c>
      <c r="M63" s="1">
        <f>SUMIFS(F:F, C:C, "UEFA", D:D, "&lt;=20")</f>
        <v>20285.549999999996</v>
      </c>
    </row>
    <row r="64" spans="1:13" x14ac:dyDescent="0.2">
      <c r="A64" s="1" t="s">
        <v>135</v>
      </c>
      <c r="B64" s="1" t="s">
        <v>136</v>
      </c>
      <c r="C64" s="1" t="s">
        <v>12</v>
      </c>
      <c r="D64">
        <v>63</v>
      </c>
      <c r="E64">
        <v>65</v>
      </c>
      <c r="F64">
        <v>1384.04</v>
      </c>
      <c r="G64">
        <v>1372.48</v>
      </c>
      <c r="H64">
        <f>E64 - D64</f>
        <v>2</v>
      </c>
      <c r="I64">
        <f>F64 - G64</f>
        <v>11.559999999999945</v>
      </c>
      <c r="J64" t="str">
        <f>TRIM(C64)</f>
        <v>UEFA</v>
      </c>
      <c r="K64" s="1">
        <f>SUMIF(C:C, "UEFA", F:F)</f>
        <v>75949.19</v>
      </c>
      <c r="L64" s="1">
        <f>COUNTIF(C:C, "CAF")</f>
        <v>54</v>
      </c>
      <c r="M64" s="1">
        <f>SUMIFS(F:F, C:C, "UEFA", D:D, "&lt;=20")</f>
        <v>20285.549999999996</v>
      </c>
    </row>
    <row r="65" spans="1:13" x14ac:dyDescent="0.2">
      <c r="A65" s="1" t="s">
        <v>137</v>
      </c>
      <c r="B65" s="1" t="s">
        <v>138</v>
      </c>
      <c r="C65" s="1" t="s">
        <v>35</v>
      </c>
      <c r="D65">
        <v>64</v>
      </c>
      <c r="E65">
        <v>62</v>
      </c>
      <c r="F65">
        <v>1378.86</v>
      </c>
      <c r="G65">
        <v>1382.06</v>
      </c>
      <c r="H65">
        <f>E65 - D65</f>
        <v>-2</v>
      </c>
      <c r="I65">
        <f>F65 - G65</f>
        <v>-3.2000000000000455</v>
      </c>
      <c r="J65" t="str">
        <f>TRIM(C65)</f>
        <v>CONCACAF</v>
      </c>
      <c r="K65" s="1">
        <f>SUMIF(C:C, "UEFA", F:F)</f>
        <v>75949.19</v>
      </c>
      <c r="L65" s="1">
        <f>COUNTIF(C:C, "CAF")</f>
        <v>54</v>
      </c>
      <c r="M65" s="1">
        <f>SUMIFS(F:F, C:C, "UEFA", D:D, "&lt;=20")</f>
        <v>20285.549999999996</v>
      </c>
    </row>
    <row r="66" spans="1:13" x14ac:dyDescent="0.2">
      <c r="A66" s="1" t="s">
        <v>139</v>
      </c>
      <c r="B66" s="1" t="s">
        <v>140</v>
      </c>
      <c r="C66" s="1" t="s">
        <v>12</v>
      </c>
      <c r="D66">
        <v>65</v>
      </c>
      <c r="E66">
        <v>64</v>
      </c>
      <c r="F66">
        <v>1358.51</v>
      </c>
      <c r="G66">
        <v>1375.2</v>
      </c>
      <c r="H66">
        <f>E66 - D66</f>
        <v>-1</v>
      </c>
      <c r="I66">
        <f>F66 - G66</f>
        <v>-16.690000000000055</v>
      </c>
      <c r="J66" t="str">
        <f>TRIM(C66)</f>
        <v>UEFA</v>
      </c>
      <c r="K66" s="1">
        <f>SUMIF(C:C, "UEFA", F:F)</f>
        <v>75949.19</v>
      </c>
      <c r="L66" s="1">
        <f>COUNTIF(C:C, "CAF")</f>
        <v>54</v>
      </c>
      <c r="M66" s="1">
        <f>SUMIFS(F:F, C:C, "UEFA", D:D, "&lt;=20")</f>
        <v>20285.549999999996</v>
      </c>
    </row>
    <row r="67" spans="1:13" x14ac:dyDescent="0.2">
      <c r="A67" s="1" t="s">
        <v>141</v>
      </c>
      <c r="B67" s="1" t="s">
        <v>142</v>
      </c>
      <c r="C67" s="1" t="s">
        <v>12</v>
      </c>
      <c r="D67">
        <v>66</v>
      </c>
      <c r="E67">
        <v>66</v>
      </c>
      <c r="F67">
        <v>1354.11</v>
      </c>
      <c r="G67">
        <v>1361.81</v>
      </c>
      <c r="H67">
        <f>E67 - D67</f>
        <v>0</v>
      </c>
      <c r="I67">
        <f>F67 - G67</f>
        <v>-7.7000000000000455</v>
      </c>
      <c r="J67" t="str">
        <f>TRIM(C67)</f>
        <v>UEFA</v>
      </c>
      <c r="K67" s="1">
        <f>SUMIF(C:C, "UEFA", F:F)</f>
        <v>75949.19</v>
      </c>
      <c r="L67" s="1">
        <f>COUNTIF(C:C, "CAF")</f>
        <v>54</v>
      </c>
      <c r="M67" s="1">
        <f>SUMIFS(F:F, C:C, "UEFA", D:D, "&lt;=20")</f>
        <v>20285.549999999996</v>
      </c>
    </row>
    <row r="68" spans="1:13" x14ac:dyDescent="0.2">
      <c r="A68" s="1" t="s">
        <v>143</v>
      </c>
      <c r="B68" s="1" t="s">
        <v>144</v>
      </c>
      <c r="C68" s="1" t="s">
        <v>45</v>
      </c>
      <c r="D68">
        <v>67</v>
      </c>
      <c r="E68">
        <v>68</v>
      </c>
      <c r="F68">
        <v>1349.59</v>
      </c>
      <c r="G68">
        <v>1350.55</v>
      </c>
      <c r="H68">
        <f>E68 - D68</f>
        <v>1</v>
      </c>
      <c r="I68">
        <f>F68 - G68</f>
        <v>-0.96000000000003638</v>
      </c>
      <c r="J68" t="str">
        <f>TRIM(C68)</f>
        <v>CAF</v>
      </c>
      <c r="K68" s="1">
        <f>SUMIF(C:C, "UEFA", F:F)</f>
        <v>75949.19</v>
      </c>
      <c r="L68" s="1">
        <f>COUNTIF(C:C, "CAF")</f>
        <v>54</v>
      </c>
      <c r="M68" s="1">
        <f>SUMIFS(F:F, C:C, "UEFA", D:D, "&lt;=20")</f>
        <v>20285.549999999996</v>
      </c>
    </row>
    <row r="69" spans="1:13" x14ac:dyDescent="0.2">
      <c r="A69" s="1" t="s">
        <v>145</v>
      </c>
      <c r="B69" s="1" t="s">
        <v>146</v>
      </c>
      <c r="C69" s="1" t="s">
        <v>50</v>
      </c>
      <c r="D69">
        <v>68</v>
      </c>
      <c r="E69">
        <v>70</v>
      </c>
      <c r="F69">
        <v>1343.01</v>
      </c>
      <c r="G69">
        <v>1338.91</v>
      </c>
      <c r="H69">
        <f>E69 - D69</f>
        <v>2</v>
      </c>
      <c r="I69">
        <f>F69 - G69</f>
        <v>4.0999999999999091</v>
      </c>
      <c r="J69" t="str">
        <f>TRIM(C69)</f>
        <v>AFC</v>
      </c>
      <c r="K69" s="1">
        <f>SUMIF(C:C, "UEFA", F:F)</f>
        <v>75949.19</v>
      </c>
      <c r="L69" s="1">
        <f>COUNTIF(C:C, "CAF")</f>
        <v>54</v>
      </c>
      <c r="M69" s="1">
        <f>SUMIFS(F:F, C:C, "UEFA", D:D, "&lt;=20")</f>
        <v>20285.549999999996</v>
      </c>
    </row>
    <row r="70" spans="1:13" x14ac:dyDescent="0.2">
      <c r="A70" s="1" t="s">
        <v>147</v>
      </c>
      <c r="B70" s="1" t="s">
        <v>148</v>
      </c>
      <c r="C70" s="1" t="s">
        <v>12</v>
      </c>
      <c r="D70">
        <v>69</v>
      </c>
      <c r="E70">
        <v>67</v>
      </c>
      <c r="F70">
        <v>1341.03</v>
      </c>
      <c r="G70">
        <v>1354.59</v>
      </c>
      <c r="H70">
        <f>E70 - D70</f>
        <v>-2</v>
      </c>
      <c r="I70">
        <f>F70 - G70</f>
        <v>-13.559999999999945</v>
      </c>
      <c r="J70" t="str">
        <f>TRIM(C70)</f>
        <v>UEFA</v>
      </c>
      <c r="K70" s="1">
        <f>SUMIF(C:C, "UEFA", F:F)</f>
        <v>75949.19</v>
      </c>
      <c r="L70" s="1">
        <f>COUNTIF(C:C, "CAF")</f>
        <v>54</v>
      </c>
      <c r="M70" s="1">
        <f>SUMIFS(F:F, C:C, "UEFA", D:D, "&lt;=20")</f>
        <v>20285.549999999996</v>
      </c>
    </row>
    <row r="71" spans="1:13" x14ac:dyDescent="0.2">
      <c r="A71" s="1" t="s">
        <v>149</v>
      </c>
      <c r="B71" s="1" t="s">
        <v>150</v>
      </c>
      <c r="C71" s="1" t="s">
        <v>50</v>
      </c>
      <c r="D71">
        <v>70</v>
      </c>
      <c r="E71">
        <v>69</v>
      </c>
      <c r="F71">
        <v>1337.57</v>
      </c>
      <c r="G71">
        <v>1346.09</v>
      </c>
      <c r="H71">
        <f>E71 - D71</f>
        <v>-1</v>
      </c>
      <c r="I71">
        <f>F71 - G71</f>
        <v>-8.5199999999999818</v>
      </c>
      <c r="J71" t="str">
        <f>TRIM(C71)</f>
        <v>AFC</v>
      </c>
      <c r="K71" s="1">
        <f>SUMIF(C:C, "UEFA", F:F)</f>
        <v>75949.19</v>
      </c>
      <c r="L71" s="1">
        <f>COUNTIF(C:C, "CAF")</f>
        <v>54</v>
      </c>
      <c r="M71" s="1">
        <f>SUMIFS(F:F, C:C, "UEFA", D:D, "&lt;=20")</f>
        <v>20285.549999999996</v>
      </c>
    </row>
    <row r="72" spans="1:13" x14ac:dyDescent="0.2">
      <c r="A72" s="1" t="s">
        <v>151</v>
      </c>
      <c r="B72" s="1" t="s">
        <v>152</v>
      </c>
      <c r="C72" s="1" t="s">
        <v>45</v>
      </c>
      <c r="D72">
        <v>71</v>
      </c>
      <c r="E72">
        <v>73</v>
      </c>
      <c r="F72">
        <v>1336.05</v>
      </c>
      <c r="G72">
        <v>1331.46</v>
      </c>
      <c r="H72">
        <f>E72 - D72</f>
        <v>2</v>
      </c>
      <c r="I72">
        <f>F72 - G72</f>
        <v>4.5899999999999181</v>
      </c>
      <c r="J72" t="str">
        <f>TRIM(C72)</f>
        <v>CAF</v>
      </c>
      <c r="K72" s="1">
        <f>SUMIF(C:C, "UEFA", F:F)</f>
        <v>75949.19</v>
      </c>
      <c r="L72" s="1">
        <f>COUNTIF(C:C, "CAF")</f>
        <v>54</v>
      </c>
      <c r="M72" s="1">
        <f>SUMIFS(F:F, C:C, "UEFA", D:D, "&lt;=20")</f>
        <v>20285.549999999996</v>
      </c>
    </row>
    <row r="73" spans="1:13" x14ac:dyDescent="0.2">
      <c r="A73" s="1" t="s">
        <v>153</v>
      </c>
      <c r="B73" s="1" t="s">
        <v>154</v>
      </c>
      <c r="C73" s="1" t="s">
        <v>12</v>
      </c>
      <c r="D73">
        <v>72</v>
      </c>
      <c r="E73">
        <v>74</v>
      </c>
      <c r="F73">
        <v>1335.36</v>
      </c>
      <c r="G73">
        <v>1325.16</v>
      </c>
      <c r="H73">
        <f>E73 - D73</f>
        <v>2</v>
      </c>
      <c r="I73">
        <f>F73 - G73</f>
        <v>10.199999999999818</v>
      </c>
      <c r="J73" t="str">
        <f>TRIM(C73)</f>
        <v>UEFA</v>
      </c>
      <c r="K73" s="1">
        <f>SUMIF(C:C, "UEFA", F:F)</f>
        <v>75949.19</v>
      </c>
      <c r="L73" s="1">
        <f>COUNTIF(C:C, "CAF")</f>
        <v>54</v>
      </c>
      <c r="M73" s="1">
        <f>SUMIFS(F:F, C:C, "UEFA", D:D, "&lt;=20")</f>
        <v>20285.549999999996</v>
      </c>
    </row>
    <row r="74" spans="1:13" x14ac:dyDescent="0.2">
      <c r="A74" s="1" t="s">
        <v>155</v>
      </c>
      <c r="B74" s="1" t="s">
        <v>156</v>
      </c>
      <c r="C74" s="1" t="s">
        <v>45</v>
      </c>
      <c r="D74">
        <v>73</v>
      </c>
      <c r="E74">
        <v>72</v>
      </c>
      <c r="F74">
        <v>1333.92</v>
      </c>
      <c r="G74">
        <v>1332.84</v>
      </c>
      <c r="H74">
        <f>E74 - D74</f>
        <v>-1</v>
      </c>
      <c r="I74">
        <f>F74 - G74</f>
        <v>1.0800000000001546</v>
      </c>
      <c r="J74" t="str">
        <f>TRIM(C74)</f>
        <v>CAF</v>
      </c>
      <c r="K74" s="1">
        <f>SUMIF(C:C, "UEFA", F:F)</f>
        <v>75949.19</v>
      </c>
      <c r="L74" s="1">
        <f>COUNTIF(C:C, "CAF")</f>
        <v>54</v>
      </c>
      <c r="M74" s="1">
        <f>SUMIFS(F:F, C:C, "UEFA", D:D, "&lt;=20")</f>
        <v>20285.549999999996</v>
      </c>
    </row>
    <row r="75" spans="1:13" x14ac:dyDescent="0.2">
      <c r="A75" s="1" t="s">
        <v>157</v>
      </c>
      <c r="B75" s="1" t="s">
        <v>158</v>
      </c>
      <c r="C75" s="1" t="s">
        <v>35</v>
      </c>
      <c r="D75">
        <v>74</v>
      </c>
      <c r="E75">
        <v>71</v>
      </c>
      <c r="F75">
        <v>1330.51</v>
      </c>
      <c r="G75">
        <v>1333.48</v>
      </c>
      <c r="H75">
        <f>E75 - D75</f>
        <v>-3</v>
      </c>
      <c r="I75">
        <f>F75 - G75</f>
        <v>-2.9700000000000273</v>
      </c>
      <c r="J75" t="str">
        <f>TRIM(C75)</f>
        <v>CONCACAF</v>
      </c>
      <c r="K75" s="1">
        <f>SUMIF(C:C, "UEFA", F:F)</f>
        <v>75949.19</v>
      </c>
      <c r="L75" s="1">
        <f>COUNTIF(C:C, "CAF")</f>
        <v>54</v>
      </c>
      <c r="M75" s="1">
        <f>SUMIFS(F:F, C:C, "UEFA", D:D, "&lt;=20")</f>
        <v>20285.549999999996</v>
      </c>
    </row>
    <row r="76" spans="1:13" x14ac:dyDescent="0.2">
      <c r="A76" s="1" t="s">
        <v>159</v>
      </c>
      <c r="B76" s="1" t="s">
        <v>160</v>
      </c>
      <c r="C76" s="1" t="s">
        <v>50</v>
      </c>
      <c r="D76">
        <v>75</v>
      </c>
      <c r="E76">
        <v>75</v>
      </c>
      <c r="F76">
        <v>1320.29</v>
      </c>
      <c r="G76">
        <v>1323.03</v>
      </c>
      <c r="H76">
        <f>E76 - D76</f>
        <v>0</v>
      </c>
      <c r="I76">
        <f>F76 - G76</f>
        <v>-2.7400000000000091</v>
      </c>
      <c r="J76" t="str">
        <f>TRIM(C76)</f>
        <v>AFC</v>
      </c>
      <c r="K76" s="1">
        <f>SUMIF(C:C, "UEFA", F:F)</f>
        <v>75949.19</v>
      </c>
      <c r="L76" s="1">
        <f>COUNTIF(C:C, "CAF")</f>
        <v>54</v>
      </c>
      <c r="M76" s="1">
        <f>SUMIFS(F:F, C:C, "UEFA", D:D, "&lt;=20")</f>
        <v>20285.549999999996</v>
      </c>
    </row>
    <row r="77" spans="1:13" x14ac:dyDescent="0.2">
      <c r="A77" s="1" t="s">
        <v>161</v>
      </c>
      <c r="B77" s="1" t="s">
        <v>162</v>
      </c>
      <c r="C77" s="1" t="s">
        <v>12</v>
      </c>
      <c r="D77">
        <v>76</v>
      </c>
      <c r="E77">
        <v>76</v>
      </c>
      <c r="F77">
        <v>1316.55</v>
      </c>
      <c r="G77">
        <v>1316.35</v>
      </c>
      <c r="H77">
        <f>E77 - D77</f>
        <v>0</v>
      </c>
      <c r="I77">
        <f>F77 - G77</f>
        <v>0.20000000000004547</v>
      </c>
      <c r="J77" t="str">
        <f>TRIM(C77)</f>
        <v>UEFA</v>
      </c>
      <c r="K77" s="1">
        <f>SUMIF(C:C, "UEFA", F:F)</f>
        <v>75949.19</v>
      </c>
      <c r="L77" s="1">
        <f>COUNTIF(C:C, "CAF")</f>
        <v>54</v>
      </c>
      <c r="M77" s="1">
        <f>SUMIFS(F:F, C:C, "UEFA", D:D, "&lt;=20")</f>
        <v>20285.549999999996</v>
      </c>
    </row>
    <row r="78" spans="1:13" x14ac:dyDescent="0.2">
      <c r="A78" s="1" t="s">
        <v>163</v>
      </c>
      <c r="B78" s="1" t="s">
        <v>164</v>
      </c>
      <c r="C78" s="1" t="s">
        <v>50</v>
      </c>
      <c r="D78">
        <v>77</v>
      </c>
      <c r="E78">
        <v>77</v>
      </c>
      <c r="F78">
        <v>1309.98</v>
      </c>
      <c r="G78">
        <v>1306.6300000000001</v>
      </c>
      <c r="H78">
        <f>E78 - D78</f>
        <v>0</v>
      </c>
      <c r="I78">
        <f>F78 - G78</f>
        <v>3.3499999999999091</v>
      </c>
      <c r="J78" t="str">
        <f>TRIM(C78)</f>
        <v>AFC</v>
      </c>
      <c r="K78" s="1">
        <f>SUMIF(C:C, "UEFA", F:F)</f>
        <v>75949.19</v>
      </c>
      <c r="L78" s="1">
        <f>COUNTIF(C:C, "CAF")</f>
        <v>54</v>
      </c>
      <c r="M78" s="1">
        <f>SUMIFS(F:F, C:C, "UEFA", D:D, "&lt;=20")</f>
        <v>20285.549999999996</v>
      </c>
    </row>
    <row r="79" spans="1:13" x14ac:dyDescent="0.2">
      <c r="A79" s="1" t="s">
        <v>165</v>
      </c>
      <c r="B79" s="1" t="s">
        <v>166</v>
      </c>
      <c r="C79" s="1" t="s">
        <v>12</v>
      </c>
      <c r="D79">
        <v>78</v>
      </c>
      <c r="E79">
        <v>82</v>
      </c>
      <c r="F79">
        <v>1307.3399999999999</v>
      </c>
      <c r="G79">
        <v>1296.46</v>
      </c>
      <c r="H79">
        <f>E79 - D79</f>
        <v>4</v>
      </c>
      <c r="I79">
        <f>F79 - G79</f>
        <v>10.879999999999882</v>
      </c>
      <c r="J79" t="str">
        <f>TRIM(C79)</f>
        <v>UEFA</v>
      </c>
      <c r="K79" s="1">
        <f>SUMIF(C:C, "UEFA", F:F)</f>
        <v>75949.19</v>
      </c>
      <c r="L79" s="1">
        <f>COUNTIF(C:C, "CAF")</f>
        <v>54</v>
      </c>
      <c r="M79" s="1">
        <f>SUMIFS(F:F, C:C, "UEFA", D:D, "&lt;=20")</f>
        <v>20285.549999999996</v>
      </c>
    </row>
    <row r="80" spans="1:13" x14ac:dyDescent="0.2">
      <c r="A80" s="1" t="s">
        <v>167</v>
      </c>
      <c r="B80" s="1" t="s">
        <v>168</v>
      </c>
      <c r="C80" s="1" t="s">
        <v>50</v>
      </c>
      <c r="D80">
        <v>79</v>
      </c>
      <c r="E80">
        <v>78</v>
      </c>
      <c r="F80">
        <v>1305.06</v>
      </c>
      <c r="G80">
        <v>1305.06</v>
      </c>
      <c r="H80">
        <f>E80 - D80</f>
        <v>-1</v>
      </c>
      <c r="I80">
        <f>F80 - G80</f>
        <v>0</v>
      </c>
      <c r="J80" t="str">
        <f>TRIM(C80)</f>
        <v>AFC</v>
      </c>
      <c r="K80" s="1">
        <f>SUMIF(C:C, "UEFA", F:F)</f>
        <v>75949.19</v>
      </c>
      <c r="L80" s="1">
        <f>COUNTIF(C:C, "CAF")</f>
        <v>54</v>
      </c>
      <c r="M80" s="1">
        <f>SUMIFS(F:F, C:C, "UEFA", D:D, "&lt;=20")</f>
        <v>20285.549999999996</v>
      </c>
    </row>
    <row r="81" spans="1:13" x14ac:dyDescent="0.2">
      <c r="A81" s="1" t="s">
        <v>169</v>
      </c>
      <c r="B81" s="1" t="s">
        <v>170</v>
      </c>
      <c r="C81" s="1" t="s">
        <v>35</v>
      </c>
      <c r="D81">
        <v>80</v>
      </c>
      <c r="E81">
        <v>80</v>
      </c>
      <c r="F81">
        <v>1301.98</v>
      </c>
      <c r="G81">
        <v>1299.69</v>
      </c>
      <c r="H81">
        <f>E81 - D81</f>
        <v>0</v>
      </c>
      <c r="I81">
        <f>F81 - G81</f>
        <v>2.2899999999999636</v>
      </c>
      <c r="J81" t="str">
        <f>TRIM(C81)</f>
        <v>CONCACAF</v>
      </c>
      <c r="K81" s="1">
        <f>SUMIF(C:C, "UEFA", F:F)</f>
        <v>75949.19</v>
      </c>
      <c r="L81" s="1">
        <f>COUNTIF(C:C, "CAF")</f>
        <v>54</v>
      </c>
      <c r="M81" s="1">
        <f>SUMIFS(F:F, C:C, "UEFA", D:D, "&lt;=20")</f>
        <v>20285.549999999996</v>
      </c>
    </row>
    <row r="82" spans="1:13" x14ac:dyDescent="0.2">
      <c r="A82" s="1" t="s">
        <v>171</v>
      </c>
      <c r="B82" s="1" t="s">
        <v>172</v>
      </c>
      <c r="C82" s="1" t="s">
        <v>45</v>
      </c>
      <c r="D82">
        <v>81</v>
      </c>
      <c r="E82">
        <v>79</v>
      </c>
      <c r="F82">
        <v>1301.8399999999999</v>
      </c>
      <c r="G82">
        <v>1301.8399999999999</v>
      </c>
      <c r="H82">
        <f>E82 - D82</f>
        <v>-2</v>
      </c>
      <c r="I82">
        <f>F82 - G82</f>
        <v>0</v>
      </c>
      <c r="J82" t="str">
        <f>TRIM(C82)</f>
        <v>CAF</v>
      </c>
      <c r="K82" s="1">
        <f>SUMIF(C:C, "UEFA", F:F)</f>
        <v>75949.19</v>
      </c>
      <c r="L82" s="1">
        <f>COUNTIF(C:C, "CAF")</f>
        <v>54</v>
      </c>
      <c r="M82" s="1">
        <f>SUMIFS(F:F, C:C, "UEFA", D:D, "&lt;=20")</f>
        <v>20285.549999999996</v>
      </c>
    </row>
    <row r="83" spans="1:13" x14ac:dyDescent="0.2">
      <c r="A83" s="1" t="s">
        <v>173</v>
      </c>
      <c r="B83" s="1" t="s">
        <v>174</v>
      </c>
      <c r="C83" s="1" t="s">
        <v>9</v>
      </c>
      <c r="D83">
        <v>82</v>
      </c>
      <c r="E83">
        <v>81</v>
      </c>
      <c r="F83">
        <v>1296.28</v>
      </c>
      <c r="G83">
        <v>1298.81</v>
      </c>
      <c r="H83">
        <f>E83 - D83</f>
        <v>-1</v>
      </c>
      <c r="I83">
        <f>F83 - G83</f>
        <v>-2.5299999999999727</v>
      </c>
      <c r="J83" t="str">
        <f>TRIM(C83)</f>
        <v>CONMEBOL</v>
      </c>
      <c r="K83" s="1">
        <f>SUMIF(C:C, "UEFA", F:F)</f>
        <v>75949.19</v>
      </c>
      <c r="L83" s="1">
        <f>COUNTIF(C:C, "CAF")</f>
        <v>54</v>
      </c>
      <c r="M83" s="1">
        <f>SUMIFS(F:F, C:C, "UEFA", D:D, "&lt;=20")</f>
        <v>20285.549999999996</v>
      </c>
    </row>
    <row r="84" spans="1:13" x14ac:dyDescent="0.2">
      <c r="A84" s="1" t="s">
        <v>175</v>
      </c>
      <c r="B84" s="1" t="s">
        <v>176</v>
      </c>
      <c r="C84" s="1" t="s">
        <v>45</v>
      </c>
      <c r="D84">
        <v>83</v>
      </c>
      <c r="E84">
        <v>83</v>
      </c>
      <c r="F84">
        <v>1290.47</v>
      </c>
      <c r="G84">
        <v>1294.8900000000001</v>
      </c>
      <c r="H84">
        <f>E84 - D84</f>
        <v>0</v>
      </c>
      <c r="I84">
        <f>F84 - G84</f>
        <v>-4.4200000000000728</v>
      </c>
      <c r="J84" t="str">
        <f>TRIM(C84)</f>
        <v>CAF</v>
      </c>
      <c r="K84" s="1">
        <f>SUMIF(C:C, "UEFA", F:F)</f>
        <v>75949.19</v>
      </c>
      <c r="L84" s="1">
        <f>COUNTIF(C:C, "CAF")</f>
        <v>54</v>
      </c>
      <c r="M84" s="1">
        <f>SUMIFS(F:F, C:C, "UEFA", D:D, "&lt;=20")</f>
        <v>20285.549999999996</v>
      </c>
    </row>
    <row r="85" spans="1:13" x14ac:dyDescent="0.2">
      <c r="A85" s="1" t="s">
        <v>177</v>
      </c>
      <c r="B85" s="1" t="s">
        <v>178</v>
      </c>
      <c r="C85" s="1" t="s">
        <v>50</v>
      </c>
      <c r="D85">
        <v>84</v>
      </c>
      <c r="E85">
        <v>86</v>
      </c>
      <c r="F85">
        <v>1289.99</v>
      </c>
      <c r="G85">
        <v>1279.74</v>
      </c>
      <c r="H85">
        <f>E85 - D85</f>
        <v>2</v>
      </c>
      <c r="I85">
        <f>F85 - G85</f>
        <v>10.25</v>
      </c>
      <c r="J85" t="str">
        <f>TRIM(C85)</f>
        <v>AFC</v>
      </c>
      <c r="K85" s="1">
        <f>SUMIF(C:C, "UEFA", F:F)</f>
        <v>75949.19</v>
      </c>
      <c r="L85" s="1">
        <f>COUNTIF(C:C, "CAF")</f>
        <v>54</v>
      </c>
      <c r="M85" s="1">
        <f>SUMIFS(F:F, C:C, "UEFA", D:D, "&lt;=20")</f>
        <v>20285.549999999996</v>
      </c>
    </row>
    <row r="86" spans="1:13" x14ac:dyDescent="0.2">
      <c r="A86" s="1" t="s">
        <v>179</v>
      </c>
      <c r="B86" s="1" t="s">
        <v>180</v>
      </c>
      <c r="C86" s="1" t="s">
        <v>50</v>
      </c>
      <c r="D86">
        <v>85</v>
      </c>
      <c r="E86">
        <v>85</v>
      </c>
      <c r="F86">
        <v>1280.6400000000001</v>
      </c>
      <c r="G86">
        <v>1289.25</v>
      </c>
      <c r="H86">
        <f>E86 - D86</f>
        <v>0</v>
      </c>
      <c r="I86">
        <f>F86 - G86</f>
        <v>-8.6099999999999</v>
      </c>
      <c r="J86" t="str">
        <f>TRIM(C86)</f>
        <v>AFC</v>
      </c>
      <c r="K86" s="1">
        <f>SUMIF(C:C, "UEFA", F:F)</f>
        <v>75949.19</v>
      </c>
      <c r="L86" s="1">
        <f>COUNTIF(C:C, "CAF")</f>
        <v>54</v>
      </c>
      <c r="M86" s="1">
        <f>SUMIFS(F:F, C:C, "UEFA", D:D, "&lt;=20")</f>
        <v>20285.549999999996</v>
      </c>
    </row>
    <row r="87" spans="1:13" x14ac:dyDescent="0.2">
      <c r="A87" s="1" t="s">
        <v>181</v>
      </c>
      <c r="B87" s="1" t="s">
        <v>182</v>
      </c>
      <c r="C87" s="1" t="s">
        <v>35</v>
      </c>
      <c r="D87">
        <v>86</v>
      </c>
      <c r="E87">
        <v>84</v>
      </c>
      <c r="F87">
        <v>1278.6400000000001</v>
      </c>
      <c r="G87">
        <v>1293.3499999999999</v>
      </c>
      <c r="H87">
        <f>E87 - D87</f>
        <v>-2</v>
      </c>
      <c r="I87">
        <f>F87 - G87</f>
        <v>-14.709999999999809</v>
      </c>
      <c r="J87" t="str">
        <f>TRIM(C87)</f>
        <v>CONCACAF</v>
      </c>
      <c r="K87" s="1">
        <f>SUMIF(C:C, "UEFA", F:F)</f>
        <v>75949.19</v>
      </c>
      <c r="L87" s="1">
        <f>COUNTIF(C:C, "CAF")</f>
        <v>54</v>
      </c>
      <c r="M87" s="1">
        <f>SUMIFS(F:F, C:C, "UEFA", D:D, "&lt;=20")</f>
        <v>20285.549999999996</v>
      </c>
    </row>
    <row r="88" spans="1:13" x14ac:dyDescent="0.2">
      <c r="A88" s="1" t="s">
        <v>183</v>
      </c>
      <c r="B88" s="1" t="s">
        <v>184</v>
      </c>
      <c r="C88" s="1" t="s">
        <v>35</v>
      </c>
      <c r="D88">
        <v>87</v>
      </c>
      <c r="E88">
        <v>88</v>
      </c>
      <c r="F88">
        <v>1269.07</v>
      </c>
      <c r="G88">
        <v>1269.07</v>
      </c>
      <c r="H88">
        <f>E88 - D88</f>
        <v>1</v>
      </c>
      <c r="I88">
        <f>F88 - G88</f>
        <v>0</v>
      </c>
      <c r="J88" t="str">
        <f>TRIM(C88)</f>
        <v>CONCACAF</v>
      </c>
      <c r="K88" s="1">
        <f>SUMIF(C:C, "UEFA", F:F)</f>
        <v>75949.19</v>
      </c>
      <c r="L88" s="1">
        <f>COUNTIF(C:C, "CAF")</f>
        <v>54</v>
      </c>
      <c r="M88" s="1">
        <f>SUMIFS(F:F, C:C, "UEFA", D:D, "&lt;=20")</f>
        <v>20285.549999999996</v>
      </c>
    </row>
    <row r="89" spans="1:13" x14ac:dyDescent="0.2">
      <c r="A89" s="1" t="s">
        <v>185</v>
      </c>
      <c r="B89" s="1" t="s">
        <v>186</v>
      </c>
      <c r="C89" s="1" t="s">
        <v>45</v>
      </c>
      <c r="D89">
        <v>88</v>
      </c>
      <c r="E89">
        <v>87</v>
      </c>
      <c r="F89">
        <v>1267.4100000000001</v>
      </c>
      <c r="G89">
        <v>1270.8</v>
      </c>
      <c r="H89">
        <f>E89 - D89</f>
        <v>-1</v>
      </c>
      <c r="I89">
        <f>F89 - G89</f>
        <v>-3.3899999999998727</v>
      </c>
      <c r="J89" t="str">
        <f>TRIM(C89)</f>
        <v>CAF</v>
      </c>
      <c r="K89" s="1">
        <f>SUMIF(C:C, "UEFA", F:F)</f>
        <v>75949.19</v>
      </c>
      <c r="L89" s="1">
        <f>COUNTIF(C:C, "CAF")</f>
        <v>54</v>
      </c>
      <c r="M89" s="1">
        <f>SUMIFS(F:F, C:C, "UEFA", D:D, "&lt;=20")</f>
        <v>20285.549999999996</v>
      </c>
    </row>
    <row r="90" spans="1:13" x14ac:dyDescent="0.2">
      <c r="A90" s="1" t="s">
        <v>187</v>
      </c>
      <c r="B90" s="1" t="s">
        <v>188</v>
      </c>
      <c r="C90" s="1" t="s">
        <v>45</v>
      </c>
      <c r="D90">
        <v>89</v>
      </c>
      <c r="E90">
        <v>90</v>
      </c>
      <c r="F90">
        <v>1260.69</v>
      </c>
      <c r="G90">
        <v>1264.56</v>
      </c>
      <c r="H90">
        <f>E90 - D90</f>
        <v>1</v>
      </c>
      <c r="I90">
        <f>F90 - G90</f>
        <v>-3.8699999999998909</v>
      </c>
      <c r="J90" t="str">
        <f>TRIM(C90)</f>
        <v>CAF</v>
      </c>
      <c r="K90" s="1">
        <f>SUMIF(C:C, "UEFA", F:F)</f>
        <v>75949.19</v>
      </c>
      <c r="L90" s="1">
        <f>COUNTIF(C:C, "CAF")</f>
        <v>54</v>
      </c>
      <c r="M90" s="1">
        <f>SUMIFS(F:F, C:C, "UEFA", D:D, "&lt;=20")</f>
        <v>20285.549999999996</v>
      </c>
    </row>
    <row r="91" spans="1:13" x14ac:dyDescent="0.2">
      <c r="A91" s="1" t="s">
        <v>189</v>
      </c>
      <c r="B91" s="1" t="s">
        <v>190</v>
      </c>
      <c r="C91" s="1" t="s">
        <v>50</v>
      </c>
      <c r="D91">
        <v>90</v>
      </c>
      <c r="E91">
        <v>89</v>
      </c>
      <c r="F91">
        <v>1255.92</v>
      </c>
      <c r="G91">
        <v>1265.03</v>
      </c>
      <c r="H91">
        <f>E91 - D91</f>
        <v>-1</v>
      </c>
      <c r="I91">
        <f>F91 - G91</f>
        <v>-9.1099999999999</v>
      </c>
      <c r="J91" t="str">
        <f>TRIM(C91)</f>
        <v>AFC</v>
      </c>
      <c r="K91" s="1">
        <f>SUMIF(C:C, "UEFA", F:F)</f>
        <v>75949.19</v>
      </c>
      <c r="L91" s="1">
        <f>COUNTIF(C:C, "CAF")</f>
        <v>54</v>
      </c>
      <c r="M91" s="1">
        <f>SUMIFS(F:F, C:C, "UEFA", D:D, "&lt;=20")</f>
        <v>20285.549999999996</v>
      </c>
    </row>
    <row r="92" spans="1:13" x14ac:dyDescent="0.2">
      <c r="A92" s="1" t="s">
        <v>191</v>
      </c>
      <c r="B92" s="1" t="s">
        <v>192</v>
      </c>
      <c r="C92" s="1" t="s">
        <v>45</v>
      </c>
      <c r="D92">
        <v>91</v>
      </c>
      <c r="E92">
        <v>91</v>
      </c>
      <c r="F92">
        <v>1247.47</v>
      </c>
      <c r="G92">
        <v>1258.71</v>
      </c>
      <c r="H92">
        <f>E92 - D92</f>
        <v>0</v>
      </c>
      <c r="I92">
        <f>F92 - G92</f>
        <v>-11.240000000000009</v>
      </c>
      <c r="J92" t="str">
        <f>TRIM(C92)</f>
        <v>CAF</v>
      </c>
      <c r="K92" s="1">
        <f>SUMIF(C:C, "UEFA", F:F)</f>
        <v>75949.19</v>
      </c>
      <c r="L92" s="1">
        <f>COUNTIF(C:C, "CAF")</f>
        <v>54</v>
      </c>
      <c r="M92" s="1">
        <f>SUMIFS(F:F, C:C, "UEFA", D:D, "&lt;=20")</f>
        <v>20285.549999999996</v>
      </c>
    </row>
    <row r="93" spans="1:13" x14ac:dyDescent="0.2">
      <c r="A93" s="1" t="s">
        <v>193</v>
      </c>
      <c r="B93" s="1" t="s">
        <v>194</v>
      </c>
      <c r="C93" s="1" t="s">
        <v>12</v>
      </c>
      <c r="D93">
        <v>92</v>
      </c>
      <c r="E93">
        <v>93</v>
      </c>
      <c r="F93">
        <v>1243.8</v>
      </c>
      <c r="G93">
        <v>1235.3599999999999</v>
      </c>
      <c r="H93">
        <f>E93 - D93</f>
        <v>1</v>
      </c>
      <c r="I93">
        <f>F93 - G93</f>
        <v>8.4400000000000546</v>
      </c>
      <c r="J93" t="str">
        <f>TRIM(C93)</f>
        <v>UEFA</v>
      </c>
      <c r="K93" s="1">
        <f>SUMIF(C:C, "UEFA", F:F)</f>
        <v>75949.19</v>
      </c>
      <c r="L93" s="1">
        <f>COUNTIF(C:C, "CAF")</f>
        <v>54</v>
      </c>
      <c r="M93" s="1">
        <f>SUMIFS(F:F, C:C, "UEFA", D:D, "&lt;=20")</f>
        <v>20285.549999999996</v>
      </c>
    </row>
    <row r="94" spans="1:13" x14ac:dyDescent="0.2">
      <c r="A94" s="1" t="s">
        <v>195</v>
      </c>
      <c r="B94" s="1" t="s">
        <v>196</v>
      </c>
      <c r="C94" s="1" t="s">
        <v>12</v>
      </c>
      <c r="D94">
        <v>93</v>
      </c>
      <c r="E94">
        <v>92</v>
      </c>
      <c r="F94">
        <v>1233.93</v>
      </c>
      <c r="G94">
        <v>1242.42</v>
      </c>
      <c r="H94">
        <f>E94 - D94</f>
        <v>-1</v>
      </c>
      <c r="I94">
        <f>F94 - G94</f>
        <v>-8.4900000000000091</v>
      </c>
      <c r="J94" t="str">
        <f>TRIM(C94)</f>
        <v>UEFA</v>
      </c>
      <c r="K94" s="1">
        <f>SUMIF(C:C, "UEFA", F:F)</f>
        <v>75949.19</v>
      </c>
      <c r="L94" s="1">
        <f>COUNTIF(C:C, "CAF")</f>
        <v>54</v>
      </c>
      <c r="M94" s="1">
        <f>SUMIFS(F:F, C:C, "UEFA", D:D, "&lt;=20")</f>
        <v>20285.549999999996</v>
      </c>
    </row>
    <row r="95" spans="1:13" x14ac:dyDescent="0.2">
      <c r="A95" s="1" t="s">
        <v>197</v>
      </c>
      <c r="B95" s="1" t="s">
        <v>198</v>
      </c>
      <c r="C95" s="1" t="s">
        <v>50</v>
      </c>
      <c r="D95">
        <v>94</v>
      </c>
      <c r="E95">
        <v>94</v>
      </c>
      <c r="F95">
        <v>1233.72</v>
      </c>
      <c r="G95">
        <v>1233.72</v>
      </c>
      <c r="H95">
        <f>E95 - D95</f>
        <v>0</v>
      </c>
      <c r="I95">
        <f>F95 - G95</f>
        <v>0</v>
      </c>
      <c r="J95" t="str">
        <f>TRIM(C95)</f>
        <v>AFC</v>
      </c>
      <c r="K95" s="1">
        <f>SUMIF(C:C, "UEFA", F:F)</f>
        <v>75949.19</v>
      </c>
      <c r="L95" s="1">
        <f>COUNTIF(C:C, "CAF")</f>
        <v>54</v>
      </c>
      <c r="M95" s="1">
        <f>SUMIFS(F:F, C:C, "UEFA", D:D, "&lt;=20")</f>
        <v>20285.549999999996</v>
      </c>
    </row>
    <row r="96" spans="1:13" x14ac:dyDescent="0.2">
      <c r="A96" s="1" t="s">
        <v>199</v>
      </c>
      <c r="B96" s="1" t="s">
        <v>200</v>
      </c>
      <c r="C96" s="1" t="s">
        <v>50</v>
      </c>
      <c r="D96">
        <v>95</v>
      </c>
      <c r="E96">
        <v>95</v>
      </c>
      <c r="F96">
        <v>1230.22</v>
      </c>
      <c r="G96">
        <v>1232.9100000000001</v>
      </c>
      <c r="H96">
        <f>E96 - D96</f>
        <v>0</v>
      </c>
      <c r="I96">
        <f>F96 - G96</f>
        <v>-2.6900000000000546</v>
      </c>
      <c r="J96" t="str">
        <f>TRIM(C96)</f>
        <v>AFC</v>
      </c>
      <c r="K96" s="1">
        <f>SUMIF(C:C, "UEFA", F:F)</f>
        <v>75949.19</v>
      </c>
      <c r="L96" s="1">
        <f>COUNTIF(C:C, "CAF")</f>
        <v>54</v>
      </c>
      <c r="M96" s="1">
        <f>SUMIFS(F:F, C:C, "UEFA", D:D, "&lt;=20")</f>
        <v>20285.549999999996</v>
      </c>
    </row>
    <row r="97" spans="1:13" x14ac:dyDescent="0.2">
      <c r="A97" s="1" t="s">
        <v>201</v>
      </c>
      <c r="B97" s="1" t="s">
        <v>202</v>
      </c>
      <c r="C97" s="1" t="s">
        <v>50</v>
      </c>
      <c r="D97">
        <v>96</v>
      </c>
      <c r="E97">
        <v>97</v>
      </c>
      <c r="F97">
        <v>1226.6500000000001</v>
      </c>
      <c r="G97">
        <v>1218.8399999999999</v>
      </c>
      <c r="H97">
        <f>E97 - D97</f>
        <v>1</v>
      </c>
      <c r="I97">
        <f>F97 - G97</f>
        <v>7.8100000000001728</v>
      </c>
      <c r="J97" t="str">
        <f>TRIM(C97)</f>
        <v>AFC</v>
      </c>
      <c r="K97" s="1">
        <f>SUMIF(C:C, "UEFA", F:F)</f>
        <v>75949.19</v>
      </c>
      <c r="L97" s="1">
        <f>COUNTIF(C:C, "CAF")</f>
        <v>54</v>
      </c>
      <c r="M97" s="1">
        <f>SUMIFS(F:F, C:C, "UEFA", D:D, "&lt;=20")</f>
        <v>20285.549999999996</v>
      </c>
    </row>
    <row r="98" spans="1:13" x14ac:dyDescent="0.2">
      <c r="A98" s="1" t="s">
        <v>203</v>
      </c>
      <c r="B98" s="1" t="s">
        <v>204</v>
      </c>
      <c r="C98" s="1" t="s">
        <v>12</v>
      </c>
      <c r="D98">
        <v>97</v>
      </c>
      <c r="E98">
        <v>96</v>
      </c>
      <c r="F98">
        <v>1221.06</v>
      </c>
      <c r="G98">
        <v>1226.55</v>
      </c>
      <c r="H98">
        <f>E98 - D98</f>
        <v>-1</v>
      </c>
      <c r="I98">
        <f>F98 - G98</f>
        <v>-5.4900000000000091</v>
      </c>
      <c r="J98" t="str">
        <f>TRIM(C98)</f>
        <v>UEFA</v>
      </c>
      <c r="K98" s="1">
        <f>SUMIF(C:C, "UEFA", F:F)</f>
        <v>75949.19</v>
      </c>
      <c r="L98" s="1">
        <f>COUNTIF(C:C, "CAF")</f>
        <v>54</v>
      </c>
      <c r="M98" s="1">
        <f>SUMIFS(F:F, C:C, "UEFA", D:D, "&lt;=20")</f>
        <v>20285.549999999996</v>
      </c>
    </row>
    <row r="99" spans="1:13" x14ac:dyDescent="0.2">
      <c r="A99" s="1" t="s">
        <v>205</v>
      </c>
      <c r="B99" s="1" t="s">
        <v>206</v>
      </c>
      <c r="C99" s="1" t="s">
        <v>45</v>
      </c>
      <c r="D99">
        <v>98</v>
      </c>
      <c r="E99">
        <v>98</v>
      </c>
      <c r="F99">
        <v>1215.6600000000001</v>
      </c>
      <c r="G99">
        <v>1215.33</v>
      </c>
      <c r="H99">
        <f>E99 - D99</f>
        <v>0</v>
      </c>
      <c r="I99">
        <f>F99 - G99</f>
        <v>0.33000000000015461</v>
      </c>
      <c r="J99" t="str">
        <f>TRIM(C99)</f>
        <v>CAF</v>
      </c>
      <c r="K99" s="1">
        <f>SUMIF(C:C, "UEFA", F:F)</f>
        <v>75949.19</v>
      </c>
      <c r="L99" s="1">
        <f>COUNTIF(C:C, "CAF")</f>
        <v>54</v>
      </c>
      <c r="M99" s="1">
        <f>SUMIFS(F:F, C:C, "UEFA", D:D, "&lt;=20")</f>
        <v>20285.549999999996</v>
      </c>
    </row>
    <row r="100" spans="1:13" x14ac:dyDescent="0.2">
      <c r="A100" s="1" t="s">
        <v>207</v>
      </c>
      <c r="B100" s="1" t="s">
        <v>208</v>
      </c>
      <c r="C100" s="1" t="s">
        <v>50</v>
      </c>
      <c r="D100">
        <v>99</v>
      </c>
      <c r="E100">
        <v>100</v>
      </c>
      <c r="F100">
        <v>1211.71</v>
      </c>
      <c r="G100">
        <v>1211.71</v>
      </c>
      <c r="H100">
        <f>E100 - D100</f>
        <v>1</v>
      </c>
      <c r="I100">
        <f>F100 - G100</f>
        <v>0</v>
      </c>
      <c r="J100" t="str">
        <f>TRIM(C100)</f>
        <v>AFC</v>
      </c>
      <c r="K100" s="1">
        <f>SUMIF(C:C, "UEFA", F:F)</f>
        <v>75949.19</v>
      </c>
      <c r="L100" s="1">
        <f>COUNTIF(C:C, "CAF")</f>
        <v>54</v>
      </c>
      <c r="M100" s="1">
        <f>SUMIFS(F:F, C:C, "UEFA", D:D, "&lt;=20")</f>
        <v>20285.549999999996</v>
      </c>
    </row>
    <row r="101" spans="1:13" x14ac:dyDescent="0.2">
      <c r="A101" s="1" t="s">
        <v>209</v>
      </c>
      <c r="B101" s="1" t="s">
        <v>210</v>
      </c>
      <c r="C101" s="1" t="s">
        <v>45</v>
      </c>
      <c r="D101">
        <v>100</v>
      </c>
      <c r="E101">
        <v>99</v>
      </c>
      <c r="F101">
        <v>1208.79</v>
      </c>
      <c r="G101">
        <v>1215.0899999999999</v>
      </c>
      <c r="H101">
        <f>E101 - D101</f>
        <v>-1</v>
      </c>
      <c r="I101">
        <f>F101 - G101</f>
        <v>-6.2999999999999545</v>
      </c>
      <c r="J101" t="str">
        <f>TRIM(C101)</f>
        <v>CAF</v>
      </c>
      <c r="K101" s="1">
        <f>SUMIF(C:C, "UEFA", F:F)</f>
        <v>75949.19</v>
      </c>
      <c r="L101" s="1">
        <f>COUNTIF(C:C, "CAF")</f>
        <v>54</v>
      </c>
      <c r="M101" s="1">
        <f>SUMIFS(F:F, C:C, "UEFA", D:D, "&lt;=20")</f>
        <v>20285.549999999996</v>
      </c>
    </row>
    <row r="102" spans="1:13" x14ac:dyDescent="0.2">
      <c r="A102" s="1" t="s">
        <v>211</v>
      </c>
      <c r="B102" s="1" t="s">
        <v>212</v>
      </c>
      <c r="C102" s="1" t="s">
        <v>45</v>
      </c>
      <c r="D102">
        <v>101</v>
      </c>
      <c r="E102">
        <v>102</v>
      </c>
      <c r="F102">
        <v>1202.26</v>
      </c>
      <c r="G102">
        <v>1202.26</v>
      </c>
      <c r="H102">
        <f>E102 - D102</f>
        <v>1</v>
      </c>
      <c r="I102">
        <f>F102 - G102</f>
        <v>0</v>
      </c>
      <c r="J102" t="str">
        <f>TRIM(C102)</f>
        <v>CAF</v>
      </c>
      <c r="K102" s="1">
        <f>SUMIF(C:C, "UEFA", F:F)</f>
        <v>75949.19</v>
      </c>
      <c r="L102" s="1">
        <f>COUNTIF(C:C, "CAF")</f>
        <v>54</v>
      </c>
      <c r="M102" s="1">
        <f>SUMIFS(F:F, C:C, "UEFA", D:D, "&lt;=20")</f>
        <v>20285.549999999996</v>
      </c>
    </row>
    <row r="103" spans="1:13" x14ac:dyDescent="0.2">
      <c r="A103" s="1" t="s">
        <v>213</v>
      </c>
      <c r="B103" s="1" t="s">
        <v>214</v>
      </c>
      <c r="C103" s="1" t="s">
        <v>45</v>
      </c>
      <c r="D103">
        <v>102</v>
      </c>
      <c r="E103">
        <v>105</v>
      </c>
      <c r="F103">
        <v>1200.74</v>
      </c>
      <c r="G103">
        <v>1193.78</v>
      </c>
      <c r="H103">
        <f>E103 - D103</f>
        <v>3</v>
      </c>
      <c r="I103">
        <f>F103 - G103</f>
        <v>6.9600000000000364</v>
      </c>
      <c r="J103" t="str">
        <f>TRIM(C103)</f>
        <v>CAF</v>
      </c>
      <c r="K103" s="1">
        <f>SUMIF(C:C, "UEFA", F:F)</f>
        <v>75949.19</v>
      </c>
      <c r="L103" s="1">
        <f>COUNTIF(C:C, "CAF")</f>
        <v>54</v>
      </c>
      <c r="M103" s="1">
        <f>SUMIFS(F:F, C:C, "UEFA", D:D, "&lt;=20")</f>
        <v>20285.549999999996</v>
      </c>
    </row>
    <row r="104" spans="1:13" x14ac:dyDescent="0.2">
      <c r="A104" s="1" t="s">
        <v>215</v>
      </c>
      <c r="B104" s="1" t="s">
        <v>216</v>
      </c>
      <c r="C104" s="1" t="s">
        <v>45</v>
      </c>
      <c r="D104">
        <v>103</v>
      </c>
      <c r="E104">
        <v>107</v>
      </c>
      <c r="F104">
        <v>1197.58</v>
      </c>
      <c r="G104">
        <v>1181.8599999999999</v>
      </c>
      <c r="H104">
        <f>E104 - D104</f>
        <v>4</v>
      </c>
      <c r="I104">
        <f>F104 - G104</f>
        <v>15.720000000000027</v>
      </c>
      <c r="J104" t="str">
        <f>TRIM(C104)</f>
        <v>CAF</v>
      </c>
      <c r="K104" s="1">
        <f>SUMIF(C:C, "UEFA", F:F)</f>
        <v>75949.19</v>
      </c>
      <c r="L104" s="1">
        <f>COUNTIF(C:C, "CAF")</f>
        <v>54</v>
      </c>
      <c r="M104" s="1">
        <f>SUMIFS(F:F, C:C, "UEFA", D:D, "&lt;=20")</f>
        <v>20285.549999999996</v>
      </c>
    </row>
    <row r="105" spans="1:13" x14ac:dyDescent="0.2">
      <c r="A105" s="1" t="s">
        <v>217</v>
      </c>
      <c r="B105" s="1" t="s">
        <v>218</v>
      </c>
      <c r="C105" s="1" t="s">
        <v>35</v>
      </c>
      <c r="D105">
        <v>104</v>
      </c>
      <c r="E105">
        <v>101</v>
      </c>
      <c r="F105">
        <v>1195.29</v>
      </c>
      <c r="G105">
        <v>1205.8499999999999</v>
      </c>
      <c r="H105">
        <f>E105 - D105</f>
        <v>-3</v>
      </c>
      <c r="I105">
        <f>F105 - G105</f>
        <v>-10.559999999999945</v>
      </c>
      <c r="J105" t="str">
        <f>TRIM(C105)</f>
        <v>CONCACAF</v>
      </c>
      <c r="K105" s="1">
        <f>SUMIF(C:C, "UEFA", F:F)</f>
        <v>75949.19</v>
      </c>
      <c r="L105" s="1">
        <f>COUNTIF(C:C, "CAF")</f>
        <v>54</v>
      </c>
      <c r="M105" s="1">
        <f>SUMIFS(F:F, C:C, "UEFA", D:D, "&lt;=20")</f>
        <v>20285.549999999996</v>
      </c>
    </row>
    <row r="106" spans="1:13" x14ac:dyDescent="0.2">
      <c r="A106" s="1" t="s">
        <v>219</v>
      </c>
      <c r="B106" s="1" t="s">
        <v>220</v>
      </c>
      <c r="C106" s="1" t="s">
        <v>221</v>
      </c>
      <c r="D106">
        <v>105</v>
      </c>
      <c r="E106">
        <v>103</v>
      </c>
      <c r="F106">
        <v>1193.98</v>
      </c>
      <c r="G106">
        <v>1198.96</v>
      </c>
      <c r="H106">
        <f>E106 - D106</f>
        <v>-2</v>
      </c>
      <c r="I106">
        <f>F106 - G106</f>
        <v>-4.9800000000000182</v>
      </c>
      <c r="J106" t="str">
        <f>TRIM(C106)</f>
        <v>OFC</v>
      </c>
      <c r="K106" s="1">
        <f>SUMIF(C:C, "UEFA", F:F)</f>
        <v>75949.19</v>
      </c>
      <c r="L106" s="1">
        <f>COUNTIF(C:C, "CAF")</f>
        <v>54</v>
      </c>
      <c r="M106" s="1">
        <f>SUMIFS(F:F, C:C, "UEFA", D:D, "&lt;=20")</f>
        <v>20285.549999999996</v>
      </c>
    </row>
    <row r="107" spans="1:13" x14ac:dyDescent="0.2">
      <c r="A107" s="1" t="s">
        <v>222</v>
      </c>
      <c r="B107" s="1" t="s">
        <v>223</v>
      </c>
      <c r="C107" s="1" t="s">
        <v>50</v>
      </c>
      <c r="D107">
        <v>106</v>
      </c>
      <c r="E107">
        <v>104</v>
      </c>
      <c r="F107">
        <v>1192.0899999999999</v>
      </c>
      <c r="G107">
        <v>1198.6500000000001</v>
      </c>
      <c r="H107">
        <f>E107 - D107</f>
        <v>-2</v>
      </c>
      <c r="I107">
        <f>F107 - G107</f>
        <v>-6.5600000000001728</v>
      </c>
      <c r="J107" t="str">
        <f>TRIM(C107)</f>
        <v>AFC</v>
      </c>
      <c r="K107" s="1">
        <f>SUMIF(C:C, "UEFA", F:F)</f>
        <v>75949.19</v>
      </c>
      <c r="L107" s="1">
        <f>COUNTIF(C:C, "CAF")</f>
        <v>54</v>
      </c>
      <c r="M107" s="1">
        <f>SUMIFS(F:F, C:C, "UEFA", D:D, "&lt;=20")</f>
        <v>20285.549999999996</v>
      </c>
    </row>
    <row r="108" spans="1:13" x14ac:dyDescent="0.2">
      <c r="A108" s="1" t="s">
        <v>224</v>
      </c>
      <c r="B108" s="1" t="s">
        <v>225</v>
      </c>
      <c r="C108" s="1" t="s">
        <v>12</v>
      </c>
      <c r="D108">
        <v>107</v>
      </c>
      <c r="E108">
        <v>106</v>
      </c>
      <c r="F108">
        <v>1187.01</v>
      </c>
      <c r="G108">
        <v>1183.9000000000001</v>
      </c>
      <c r="H108">
        <f>E108 - D108</f>
        <v>-1</v>
      </c>
      <c r="I108">
        <f>F108 - G108</f>
        <v>3.1099999999999</v>
      </c>
      <c r="J108" t="str">
        <f>TRIM(C108)</f>
        <v>UEFA</v>
      </c>
      <c r="K108" s="1">
        <f>SUMIF(C:C, "UEFA", F:F)</f>
        <v>75949.19</v>
      </c>
      <c r="L108" s="1">
        <f>COUNTIF(C:C, "CAF")</f>
        <v>54</v>
      </c>
      <c r="M108" s="1">
        <f>SUMIFS(F:F, C:C, "UEFA", D:D, "&lt;=20")</f>
        <v>20285.549999999996</v>
      </c>
    </row>
    <row r="109" spans="1:13" x14ac:dyDescent="0.2">
      <c r="A109" s="1" t="s">
        <v>226</v>
      </c>
      <c r="B109" s="1" t="s">
        <v>227</v>
      </c>
      <c r="C109" s="1" t="s">
        <v>50</v>
      </c>
      <c r="D109">
        <v>108</v>
      </c>
      <c r="E109">
        <v>109</v>
      </c>
      <c r="F109">
        <v>1185.7</v>
      </c>
      <c r="G109">
        <v>1179.0999999999999</v>
      </c>
      <c r="H109">
        <f>E109 - D109</f>
        <v>1</v>
      </c>
      <c r="I109">
        <f>F109 - G109</f>
        <v>6.6000000000001364</v>
      </c>
      <c r="J109" t="str">
        <f>TRIM(C109)</f>
        <v>AFC</v>
      </c>
      <c r="K109" s="1">
        <f>SUMIF(C:C, "UEFA", F:F)</f>
        <v>75949.19</v>
      </c>
      <c r="L109" s="1">
        <f>COUNTIF(C:C, "CAF")</f>
        <v>54</v>
      </c>
      <c r="M109" s="1">
        <f>SUMIFS(F:F, C:C, "UEFA", D:D, "&lt;=20")</f>
        <v>20285.549999999996</v>
      </c>
    </row>
    <row r="110" spans="1:13" x14ac:dyDescent="0.2">
      <c r="A110" s="1" t="s">
        <v>228</v>
      </c>
      <c r="B110" s="1" t="s">
        <v>229</v>
      </c>
      <c r="C110" s="1" t="s">
        <v>12</v>
      </c>
      <c r="D110">
        <v>109</v>
      </c>
      <c r="E110">
        <v>110</v>
      </c>
      <c r="F110">
        <v>1184.6400000000001</v>
      </c>
      <c r="G110">
        <v>1177.4000000000001</v>
      </c>
      <c r="H110">
        <f>E110 - D110</f>
        <v>1</v>
      </c>
      <c r="I110">
        <f>F110 - G110</f>
        <v>7.2400000000000091</v>
      </c>
      <c r="J110" t="str">
        <f>TRIM(C110)</f>
        <v>UEFA</v>
      </c>
      <c r="K110" s="1">
        <f>SUMIF(C:C, "UEFA", F:F)</f>
        <v>75949.19</v>
      </c>
      <c r="L110" s="1">
        <f>COUNTIF(C:C, "CAF")</f>
        <v>54</v>
      </c>
      <c r="M110" s="1">
        <f>SUMIFS(F:F, C:C, "UEFA", D:D, "&lt;=20")</f>
        <v>20285.549999999996</v>
      </c>
    </row>
    <row r="111" spans="1:13" x14ac:dyDescent="0.2">
      <c r="A111" s="1" t="s">
        <v>230</v>
      </c>
      <c r="B111" s="1" t="s">
        <v>231</v>
      </c>
      <c r="C111" s="1" t="s">
        <v>12</v>
      </c>
      <c r="D111">
        <v>110</v>
      </c>
      <c r="E111">
        <v>108</v>
      </c>
      <c r="F111">
        <v>1183.82</v>
      </c>
      <c r="G111">
        <v>1180.52</v>
      </c>
      <c r="H111">
        <f>E111 - D111</f>
        <v>-2</v>
      </c>
      <c r="I111">
        <f>F111 - G111</f>
        <v>3.2999999999999545</v>
      </c>
      <c r="J111" t="str">
        <f>TRIM(C111)</f>
        <v>UEFA</v>
      </c>
      <c r="K111" s="1">
        <f>SUMIF(C:C, "UEFA", F:F)</f>
        <v>75949.19</v>
      </c>
      <c r="L111" s="1">
        <f>COUNTIF(C:C, "CAF")</f>
        <v>54</v>
      </c>
      <c r="M111" s="1">
        <f>SUMIFS(F:F, C:C, "UEFA", D:D, "&lt;=20")</f>
        <v>20285.549999999996</v>
      </c>
    </row>
    <row r="112" spans="1:13" x14ac:dyDescent="0.2">
      <c r="A112" s="1" t="s">
        <v>232</v>
      </c>
      <c r="B112" s="1" t="s">
        <v>233</v>
      </c>
      <c r="C112" s="1" t="s">
        <v>50</v>
      </c>
      <c r="D112">
        <v>111</v>
      </c>
      <c r="E112">
        <v>111</v>
      </c>
      <c r="F112">
        <v>1174.92</v>
      </c>
      <c r="G112">
        <v>1170.69</v>
      </c>
      <c r="H112">
        <f>E112 - D112</f>
        <v>0</v>
      </c>
      <c r="I112">
        <f>F112 - G112</f>
        <v>4.2300000000000182</v>
      </c>
      <c r="J112" t="str">
        <f>TRIM(C112)</f>
        <v>AFC</v>
      </c>
      <c r="K112" s="1">
        <f>SUMIF(C:C, "UEFA", F:F)</f>
        <v>75949.19</v>
      </c>
      <c r="L112" s="1">
        <f>COUNTIF(C:C, "CAF")</f>
        <v>54</v>
      </c>
      <c r="M112" s="1">
        <f>SUMIFS(F:F, C:C, "UEFA", D:D, "&lt;=20")</f>
        <v>20285.549999999996</v>
      </c>
    </row>
    <row r="113" spans="1:13" x14ac:dyDescent="0.2">
      <c r="A113" s="1" t="s">
        <v>234</v>
      </c>
      <c r="B113" s="1" t="s">
        <v>235</v>
      </c>
      <c r="C113" s="1" t="s">
        <v>50</v>
      </c>
      <c r="D113">
        <v>112</v>
      </c>
      <c r="E113">
        <v>112</v>
      </c>
      <c r="F113">
        <v>1169.96</v>
      </c>
      <c r="G113">
        <v>1169.96</v>
      </c>
      <c r="H113">
        <f>E113 - D113</f>
        <v>0</v>
      </c>
      <c r="I113">
        <f>F113 - G113</f>
        <v>0</v>
      </c>
      <c r="J113" t="str">
        <f>TRIM(C113)</f>
        <v>AFC</v>
      </c>
      <c r="K113" s="1">
        <f>SUMIF(C:C, "UEFA", F:F)</f>
        <v>75949.19</v>
      </c>
      <c r="L113" s="1">
        <f>COUNTIF(C:C, "CAF")</f>
        <v>54</v>
      </c>
      <c r="M113" s="1">
        <f>SUMIFS(F:F, C:C, "UEFA", D:D, "&lt;=20")</f>
        <v>20285.549999999996</v>
      </c>
    </row>
    <row r="114" spans="1:13" x14ac:dyDescent="0.2">
      <c r="A114" s="1" t="s">
        <v>236</v>
      </c>
      <c r="B114" s="1" t="s">
        <v>237</v>
      </c>
      <c r="C114" s="1" t="s">
        <v>12</v>
      </c>
      <c r="D114">
        <v>113</v>
      </c>
      <c r="E114">
        <v>114</v>
      </c>
      <c r="F114">
        <v>1166.6300000000001</v>
      </c>
      <c r="G114">
        <v>1166.28</v>
      </c>
      <c r="H114">
        <f>E114 - D114</f>
        <v>1</v>
      </c>
      <c r="I114">
        <f>F114 - G114</f>
        <v>0.35000000000013642</v>
      </c>
      <c r="J114" t="str">
        <f>TRIM(C114)</f>
        <v>UEFA</v>
      </c>
      <c r="K114" s="1">
        <f>SUMIF(C:C, "UEFA", F:F)</f>
        <v>75949.19</v>
      </c>
      <c r="L114" s="1">
        <f>COUNTIF(C:C, "CAF")</f>
        <v>54</v>
      </c>
      <c r="M114" s="1">
        <f>SUMIFS(F:F, C:C, "UEFA", D:D, "&lt;=20")</f>
        <v>20285.549999999996</v>
      </c>
    </row>
    <row r="115" spans="1:13" x14ac:dyDescent="0.2">
      <c r="A115" s="1" t="s">
        <v>238</v>
      </c>
      <c r="B115" s="1" t="s">
        <v>239</v>
      </c>
      <c r="C115" s="1" t="s">
        <v>45</v>
      </c>
      <c r="D115">
        <v>114</v>
      </c>
      <c r="E115">
        <v>116</v>
      </c>
      <c r="F115">
        <v>1165.22</v>
      </c>
      <c r="G115">
        <v>1165.4100000000001</v>
      </c>
      <c r="H115">
        <f>E115 - D115</f>
        <v>2</v>
      </c>
      <c r="I115">
        <f>F115 - G115</f>
        <v>-0.19000000000005457</v>
      </c>
      <c r="J115" t="str">
        <f>TRIM(C115)</f>
        <v>CAF</v>
      </c>
      <c r="K115" s="1">
        <f>SUMIF(C:C, "UEFA", F:F)</f>
        <v>75949.19</v>
      </c>
      <c r="L115" s="1">
        <f>COUNTIF(C:C, "CAF")</f>
        <v>54</v>
      </c>
      <c r="M115" s="1">
        <f>SUMIFS(F:F, C:C, "UEFA", D:D, "&lt;=20")</f>
        <v>20285.549999999996</v>
      </c>
    </row>
    <row r="116" spans="1:13" x14ac:dyDescent="0.2">
      <c r="A116" s="1" t="s">
        <v>240</v>
      </c>
      <c r="B116" s="1" t="s">
        <v>241</v>
      </c>
      <c r="C116" s="1" t="s">
        <v>45</v>
      </c>
      <c r="D116">
        <v>115</v>
      </c>
      <c r="E116">
        <v>117</v>
      </c>
      <c r="F116">
        <v>1164.1300000000001</v>
      </c>
      <c r="G116">
        <v>1164.1300000000001</v>
      </c>
      <c r="H116">
        <f>E116 - D116</f>
        <v>2</v>
      </c>
      <c r="I116">
        <f>F116 - G116</f>
        <v>0</v>
      </c>
      <c r="J116" t="str">
        <f>TRIM(C116)</f>
        <v>CAF</v>
      </c>
      <c r="K116" s="1">
        <f>SUMIF(C:C, "UEFA", F:F)</f>
        <v>75949.19</v>
      </c>
      <c r="L116" s="1">
        <f>COUNTIF(C:C, "CAF")</f>
        <v>54</v>
      </c>
      <c r="M116" s="1">
        <f>SUMIFS(F:F, C:C, "UEFA", D:D, "&lt;=20")</f>
        <v>20285.549999999996</v>
      </c>
    </row>
    <row r="117" spans="1:13" x14ac:dyDescent="0.2">
      <c r="A117" s="1" t="s">
        <v>242</v>
      </c>
      <c r="B117" s="1" t="s">
        <v>243</v>
      </c>
      <c r="C117" s="1" t="s">
        <v>45</v>
      </c>
      <c r="D117">
        <v>116</v>
      </c>
      <c r="E117">
        <v>115</v>
      </c>
      <c r="F117">
        <v>1160.71</v>
      </c>
      <c r="G117">
        <v>1165.53</v>
      </c>
      <c r="H117">
        <f>E117 - D117</f>
        <v>-1</v>
      </c>
      <c r="I117">
        <f>F117 - G117</f>
        <v>-4.8199999999999363</v>
      </c>
      <c r="J117" t="str">
        <f>TRIM(C117)</f>
        <v>CAF</v>
      </c>
      <c r="K117" s="1">
        <f>SUMIF(C:C, "UEFA", F:F)</f>
        <v>75949.19</v>
      </c>
      <c r="L117" s="1">
        <f>COUNTIF(C:C, "CAF")</f>
        <v>54</v>
      </c>
      <c r="M117" s="1">
        <f>SUMIFS(F:F, C:C, "UEFA", D:D, "&lt;=20")</f>
        <v>20285.549999999996</v>
      </c>
    </row>
    <row r="118" spans="1:13" x14ac:dyDescent="0.2">
      <c r="A118" s="1" t="s">
        <v>244</v>
      </c>
      <c r="B118" s="1" t="s">
        <v>245</v>
      </c>
      <c r="C118" s="1" t="s">
        <v>45</v>
      </c>
      <c r="D118">
        <v>117</v>
      </c>
      <c r="E118">
        <v>113</v>
      </c>
      <c r="F118">
        <v>1160.31</v>
      </c>
      <c r="G118">
        <v>1169.71</v>
      </c>
      <c r="H118">
        <f>E118 - D118</f>
        <v>-4</v>
      </c>
      <c r="I118">
        <f>F118 - G118</f>
        <v>-9.4000000000000909</v>
      </c>
      <c r="J118" t="str">
        <f>TRIM(C118)</f>
        <v>CAF</v>
      </c>
      <c r="K118" s="1">
        <f>SUMIF(C:C, "UEFA", F:F)</f>
        <v>75949.19</v>
      </c>
      <c r="L118" s="1">
        <f>COUNTIF(C:C, "CAF")</f>
        <v>54</v>
      </c>
      <c r="M118" s="1">
        <f>SUMIFS(F:F, C:C, "UEFA", D:D, "&lt;=20")</f>
        <v>20285.549999999996</v>
      </c>
    </row>
    <row r="119" spans="1:13" x14ac:dyDescent="0.2">
      <c r="A119" s="1" t="s">
        <v>246</v>
      </c>
      <c r="B119" s="1" t="s">
        <v>247</v>
      </c>
      <c r="C119" s="1" t="s">
        <v>35</v>
      </c>
      <c r="D119">
        <v>118</v>
      </c>
      <c r="E119">
        <v>118</v>
      </c>
      <c r="F119">
        <v>1156.7</v>
      </c>
      <c r="G119">
        <v>1161.96</v>
      </c>
      <c r="H119">
        <f>E119 - D119</f>
        <v>0</v>
      </c>
      <c r="I119">
        <f>F119 - G119</f>
        <v>-5.2599999999999909</v>
      </c>
      <c r="J119" t="str">
        <f>TRIM(C119)</f>
        <v>CONCACAF</v>
      </c>
      <c r="K119" s="1">
        <f>SUMIF(C:C, "UEFA", F:F)</f>
        <v>75949.19</v>
      </c>
      <c r="L119" s="1">
        <f>COUNTIF(C:C, "CAF")</f>
        <v>54</v>
      </c>
      <c r="M119" s="1">
        <f>SUMIFS(F:F, C:C, "UEFA", D:D, "&lt;=20")</f>
        <v>20285.549999999996</v>
      </c>
    </row>
    <row r="120" spans="1:13" x14ac:dyDescent="0.2">
      <c r="A120" s="1" t="s">
        <v>248</v>
      </c>
      <c r="B120" s="1" t="s">
        <v>249</v>
      </c>
      <c r="C120" s="1" t="s">
        <v>45</v>
      </c>
      <c r="D120">
        <v>119</v>
      </c>
      <c r="E120">
        <v>120</v>
      </c>
      <c r="F120">
        <v>1155.9000000000001</v>
      </c>
      <c r="G120">
        <v>1149.08</v>
      </c>
      <c r="H120">
        <f>E120 - D120</f>
        <v>1</v>
      </c>
      <c r="I120">
        <f>F120 - G120</f>
        <v>6.8200000000001637</v>
      </c>
      <c r="J120" t="str">
        <f>TRIM(C120)</f>
        <v>CAF</v>
      </c>
      <c r="K120" s="1">
        <f>SUMIF(C:C, "UEFA", F:F)</f>
        <v>75949.19</v>
      </c>
      <c r="L120" s="1">
        <f>COUNTIF(C:C, "CAF")</f>
        <v>54</v>
      </c>
      <c r="M120" s="1">
        <f>SUMIFS(F:F, C:C, "UEFA", D:D, "&lt;=20")</f>
        <v>20285.549999999996</v>
      </c>
    </row>
    <row r="121" spans="1:13" x14ac:dyDescent="0.2">
      <c r="A121" s="1" t="s">
        <v>250</v>
      </c>
      <c r="B121" s="1" t="s">
        <v>251</v>
      </c>
      <c r="C121" s="1" t="s">
        <v>45</v>
      </c>
      <c r="D121">
        <v>120</v>
      </c>
      <c r="E121">
        <v>121</v>
      </c>
      <c r="F121">
        <v>1154.25</v>
      </c>
      <c r="G121">
        <v>1148.3599999999999</v>
      </c>
      <c r="H121">
        <f>E121 - D121</f>
        <v>1</v>
      </c>
      <c r="I121">
        <f>F121 - G121</f>
        <v>5.8900000000001</v>
      </c>
      <c r="J121" t="str">
        <f>TRIM(C121)</f>
        <v>CAF</v>
      </c>
      <c r="K121" s="1">
        <f>SUMIF(C:C, "UEFA", F:F)</f>
        <v>75949.19</v>
      </c>
      <c r="L121" s="1">
        <f>COUNTIF(C:C, "CAF")</f>
        <v>54</v>
      </c>
      <c r="M121" s="1">
        <f>SUMIFS(F:F, C:C, "UEFA", D:D, "&lt;=20")</f>
        <v>20285.549999999996</v>
      </c>
    </row>
    <row r="122" spans="1:13" x14ac:dyDescent="0.2">
      <c r="A122" s="1" t="s">
        <v>252</v>
      </c>
      <c r="B122" s="1" t="s">
        <v>253</v>
      </c>
      <c r="C122" s="1" t="s">
        <v>45</v>
      </c>
      <c r="D122">
        <v>121</v>
      </c>
      <c r="E122">
        <v>119</v>
      </c>
      <c r="F122">
        <v>1152.8</v>
      </c>
      <c r="G122">
        <v>1155.23</v>
      </c>
      <c r="H122">
        <f>E122 - D122</f>
        <v>-2</v>
      </c>
      <c r="I122">
        <f>F122 - G122</f>
        <v>-2.4300000000000637</v>
      </c>
      <c r="J122" t="str">
        <f>TRIM(C122)</f>
        <v>CAF</v>
      </c>
      <c r="K122" s="1">
        <f>SUMIF(C:C, "UEFA", F:F)</f>
        <v>75949.19</v>
      </c>
      <c r="L122" s="1">
        <f>COUNTIF(C:C, "CAF")</f>
        <v>54</v>
      </c>
      <c r="M122" s="1">
        <f>SUMIFS(F:F, C:C, "UEFA", D:D, "&lt;=20")</f>
        <v>20285.549999999996</v>
      </c>
    </row>
    <row r="123" spans="1:13" x14ac:dyDescent="0.2">
      <c r="A123" s="1" t="s">
        <v>254</v>
      </c>
      <c r="B123" s="1" t="s">
        <v>255</v>
      </c>
      <c r="C123" s="1" t="s">
        <v>12</v>
      </c>
      <c r="D123">
        <v>122</v>
      </c>
      <c r="E123">
        <v>125</v>
      </c>
      <c r="F123">
        <v>1147.17</v>
      </c>
      <c r="G123">
        <v>1136.29</v>
      </c>
      <c r="H123">
        <f>E123 - D123</f>
        <v>3</v>
      </c>
      <c r="I123">
        <f>F123 - G123</f>
        <v>10.880000000000109</v>
      </c>
      <c r="J123" t="str">
        <f>TRIM(C123)</f>
        <v>UEFA</v>
      </c>
      <c r="K123" s="1">
        <f>SUMIF(C:C, "UEFA", F:F)</f>
        <v>75949.19</v>
      </c>
      <c r="L123" s="1">
        <f>COUNTIF(C:C, "CAF")</f>
        <v>54</v>
      </c>
      <c r="M123" s="1">
        <f>SUMIFS(F:F, C:C, "UEFA", D:D, "&lt;=20")</f>
        <v>20285.549999999996</v>
      </c>
    </row>
    <row r="124" spans="1:13" x14ac:dyDescent="0.2">
      <c r="A124" s="1" t="s">
        <v>256</v>
      </c>
      <c r="B124" s="1" t="s">
        <v>257</v>
      </c>
      <c r="C124" s="1" t="s">
        <v>12</v>
      </c>
      <c r="D124">
        <v>123</v>
      </c>
      <c r="E124">
        <v>128</v>
      </c>
      <c r="F124">
        <v>1146.72</v>
      </c>
      <c r="G124">
        <v>1127.17</v>
      </c>
      <c r="H124">
        <f>E124 - D124</f>
        <v>5</v>
      </c>
      <c r="I124">
        <f>F124 - G124</f>
        <v>19.549999999999955</v>
      </c>
      <c r="J124" t="str">
        <f>TRIM(C124)</f>
        <v>UEFA</v>
      </c>
      <c r="K124" s="1">
        <f>SUMIF(C:C, "UEFA", F:F)</f>
        <v>75949.19</v>
      </c>
      <c r="L124" s="1">
        <f>COUNTIF(C:C, "CAF")</f>
        <v>54</v>
      </c>
      <c r="M124" s="1">
        <f>SUMIFS(F:F, C:C, "UEFA", D:D, "&lt;=20")</f>
        <v>20285.549999999996</v>
      </c>
    </row>
    <row r="125" spans="1:13" x14ac:dyDescent="0.2">
      <c r="A125" s="1" t="s">
        <v>258</v>
      </c>
      <c r="B125" s="1" t="s">
        <v>259</v>
      </c>
      <c r="C125" s="1" t="s">
        <v>45</v>
      </c>
      <c r="D125">
        <v>124</v>
      </c>
      <c r="E125">
        <v>122</v>
      </c>
      <c r="F125">
        <v>1144.97</v>
      </c>
      <c r="G125">
        <v>1144.77</v>
      </c>
      <c r="H125">
        <f>E125 - D125</f>
        <v>-2</v>
      </c>
      <c r="I125">
        <f>F125 - G125</f>
        <v>0.20000000000004547</v>
      </c>
      <c r="J125" t="str">
        <f>TRIM(C125)</f>
        <v>CAF</v>
      </c>
      <c r="K125" s="1">
        <f>SUMIF(C:C, "UEFA", F:F)</f>
        <v>75949.19</v>
      </c>
      <c r="L125" s="1">
        <f>COUNTIF(C:C, "CAF")</f>
        <v>54</v>
      </c>
      <c r="M125" s="1">
        <f>SUMIFS(F:F, C:C, "UEFA", D:D, "&lt;=20")</f>
        <v>20285.549999999996</v>
      </c>
    </row>
    <row r="126" spans="1:13" x14ac:dyDescent="0.2">
      <c r="A126" s="1" t="s">
        <v>260</v>
      </c>
      <c r="B126" s="1" t="s">
        <v>261</v>
      </c>
      <c r="C126" s="1" t="s">
        <v>45</v>
      </c>
      <c r="D126">
        <v>125</v>
      </c>
      <c r="E126">
        <v>123</v>
      </c>
      <c r="F126">
        <v>1138.56</v>
      </c>
      <c r="G126">
        <v>1138.56</v>
      </c>
      <c r="H126">
        <f>E126 - D126</f>
        <v>-2</v>
      </c>
      <c r="I126">
        <f>F126 - G126</f>
        <v>0</v>
      </c>
      <c r="J126" t="str">
        <f>TRIM(C126)</f>
        <v>CAF</v>
      </c>
      <c r="K126" s="1">
        <f>SUMIF(C:C, "UEFA", F:F)</f>
        <v>75949.19</v>
      </c>
      <c r="L126" s="1">
        <f>COUNTIF(C:C, "CAF")</f>
        <v>54</v>
      </c>
      <c r="M126" s="1">
        <f>SUMIFS(F:F, C:C, "UEFA", D:D, "&lt;=20")</f>
        <v>20285.549999999996</v>
      </c>
    </row>
    <row r="127" spans="1:13" x14ac:dyDescent="0.2">
      <c r="A127" s="1" t="s">
        <v>262</v>
      </c>
      <c r="B127" s="1" t="s">
        <v>263</v>
      </c>
      <c r="C127" s="1" t="s">
        <v>45</v>
      </c>
      <c r="D127">
        <v>126</v>
      </c>
      <c r="E127">
        <v>124</v>
      </c>
      <c r="F127">
        <v>1137.47</v>
      </c>
      <c r="G127">
        <v>1137.47</v>
      </c>
      <c r="H127">
        <f>E127 - D127</f>
        <v>-2</v>
      </c>
      <c r="I127">
        <f>F127 - G127</f>
        <v>0</v>
      </c>
      <c r="J127" t="str">
        <f>TRIM(C127)</f>
        <v>CAF</v>
      </c>
      <c r="K127" s="1">
        <f>SUMIF(C:C, "UEFA", F:F)</f>
        <v>75949.19</v>
      </c>
      <c r="L127" s="1">
        <f>COUNTIF(C:C, "CAF")</f>
        <v>54</v>
      </c>
      <c r="M127" s="1">
        <f>SUMIFS(F:F, C:C, "UEFA", D:D, "&lt;=20")</f>
        <v>20285.549999999996</v>
      </c>
    </row>
    <row r="128" spans="1:13" x14ac:dyDescent="0.2">
      <c r="A128" s="1" t="s">
        <v>264</v>
      </c>
      <c r="B128" s="1" t="s">
        <v>265</v>
      </c>
      <c r="C128" s="1" t="s">
        <v>45</v>
      </c>
      <c r="D128">
        <v>127</v>
      </c>
      <c r="E128">
        <v>126</v>
      </c>
      <c r="F128">
        <v>1128.92</v>
      </c>
      <c r="G128">
        <v>1130.22</v>
      </c>
      <c r="H128">
        <f>E128 - D128</f>
        <v>-1</v>
      </c>
      <c r="I128">
        <f>F128 - G128</f>
        <v>-1.2999999999999545</v>
      </c>
      <c r="J128" t="str">
        <f>TRIM(C128)</f>
        <v>CAF</v>
      </c>
      <c r="K128" s="1">
        <f>SUMIF(C:C, "UEFA", F:F)</f>
        <v>75949.19</v>
      </c>
      <c r="L128" s="1">
        <f>COUNTIF(C:C, "CAF")</f>
        <v>54</v>
      </c>
      <c r="M128" s="1">
        <f>SUMIFS(F:F, C:C, "UEFA", D:D, "&lt;=20")</f>
        <v>20285.549999999996</v>
      </c>
    </row>
    <row r="129" spans="1:13" x14ac:dyDescent="0.2">
      <c r="A129" s="1" t="s">
        <v>266</v>
      </c>
      <c r="B129" s="1" t="s">
        <v>267</v>
      </c>
      <c r="C129" s="1" t="s">
        <v>45</v>
      </c>
      <c r="D129">
        <v>128</v>
      </c>
      <c r="E129">
        <v>130</v>
      </c>
      <c r="F129">
        <v>1127.3399999999999</v>
      </c>
      <c r="G129">
        <v>1124.9100000000001</v>
      </c>
      <c r="H129">
        <f>E129 - D129</f>
        <v>2</v>
      </c>
      <c r="I129">
        <f>F129 - G129</f>
        <v>2.4299999999998363</v>
      </c>
      <c r="J129" t="str">
        <f>TRIM(C129)</f>
        <v>CAF</v>
      </c>
      <c r="K129" s="1">
        <f>SUMIF(C:C, "UEFA", F:F)</f>
        <v>75949.19</v>
      </c>
      <c r="L129" s="1">
        <f>COUNTIF(C:C, "CAF")</f>
        <v>54</v>
      </c>
      <c r="M129" s="1">
        <f>SUMIFS(F:F, C:C, "UEFA", D:D, "&lt;=20")</f>
        <v>20285.549999999996</v>
      </c>
    </row>
    <row r="130" spans="1:13" x14ac:dyDescent="0.2">
      <c r="A130" s="1" t="s">
        <v>268</v>
      </c>
      <c r="B130" s="1" t="s">
        <v>269</v>
      </c>
      <c r="C130" s="1" t="s">
        <v>45</v>
      </c>
      <c r="D130">
        <v>129</v>
      </c>
      <c r="E130">
        <v>127</v>
      </c>
      <c r="F130">
        <v>1123.18</v>
      </c>
      <c r="G130">
        <v>1127.44</v>
      </c>
      <c r="H130">
        <f>E130 - D130</f>
        <v>-2</v>
      </c>
      <c r="I130">
        <f>F130 - G130</f>
        <v>-4.2599999999999909</v>
      </c>
      <c r="J130" t="str">
        <f>TRIM(C130)</f>
        <v>CAF</v>
      </c>
      <c r="K130" s="1">
        <f>SUMIF(C:C, "UEFA", F:F)</f>
        <v>75949.19</v>
      </c>
      <c r="L130" s="1">
        <f>COUNTIF(C:C, "CAF")</f>
        <v>54</v>
      </c>
      <c r="M130" s="1">
        <f>SUMIFS(F:F, C:C, "UEFA", D:D, "&lt;=20")</f>
        <v>20285.549999999996</v>
      </c>
    </row>
    <row r="131" spans="1:13" x14ac:dyDescent="0.2">
      <c r="A131" s="1" t="s">
        <v>270</v>
      </c>
      <c r="B131" s="1" t="s">
        <v>271</v>
      </c>
      <c r="C131" s="1" t="s">
        <v>45</v>
      </c>
      <c r="D131">
        <v>130</v>
      </c>
      <c r="E131">
        <v>131</v>
      </c>
      <c r="F131">
        <v>1119.8900000000001</v>
      </c>
      <c r="G131">
        <v>1121.9100000000001</v>
      </c>
      <c r="H131">
        <f>E131 - D131</f>
        <v>1</v>
      </c>
      <c r="I131">
        <f>F131 - G131</f>
        <v>-2.0199999999999818</v>
      </c>
      <c r="J131" t="str">
        <f>TRIM(C131)</f>
        <v>CAF</v>
      </c>
      <c r="K131" s="1">
        <f>SUMIF(C:C, "UEFA", F:F)</f>
        <v>75949.19</v>
      </c>
      <c r="L131" s="1">
        <f>COUNTIF(C:C, "CAF")</f>
        <v>54</v>
      </c>
      <c r="M131" s="1">
        <f>SUMIFS(F:F, C:C, "UEFA", D:D, "&lt;=20")</f>
        <v>20285.549999999996</v>
      </c>
    </row>
    <row r="132" spans="1:13" x14ac:dyDescent="0.2">
      <c r="A132" s="1" t="s">
        <v>272</v>
      </c>
      <c r="B132" s="1" t="s">
        <v>273</v>
      </c>
      <c r="C132" s="1" t="s">
        <v>35</v>
      </c>
      <c r="D132">
        <v>131</v>
      </c>
      <c r="E132">
        <v>132</v>
      </c>
      <c r="F132">
        <v>1117.01</v>
      </c>
      <c r="G132">
        <v>1117.01</v>
      </c>
      <c r="H132">
        <f>E132 - D132</f>
        <v>1</v>
      </c>
      <c r="I132">
        <f>F132 - G132</f>
        <v>0</v>
      </c>
      <c r="J132" t="str">
        <f>TRIM(C132)</f>
        <v>CONCACAF</v>
      </c>
      <c r="K132" s="1">
        <f>SUMIF(C:C, "UEFA", F:F)</f>
        <v>75949.19</v>
      </c>
      <c r="L132" s="1">
        <f>COUNTIF(C:C, "CAF")</f>
        <v>54</v>
      </c>
      <c r="M132" s="1">
        <f>SUMIFS(F:F, C:C, "UEFA", D:D, "&lt;=20")</f>
        <v>20285.549999999996</v>
      </c>
    </row>
    <row r="133" spans="1:13" x14ac:dyDescent="0.2">
      <c r="A133" s="1" t="s">
        <v>274</v>
      </c>
      <c r="B133" s="1" t="s">
        <v>275</v>
      </c>
      <c r="C133" s="1" t="s">
        <v>45</v>
      </c>
      <c r="D133">
        <v>132</v>
      </c>
      <c r="E133">
        <v>133</v>
      </c>
      <c r="F133">
        <v>1116.97</v>
      </c>
      <c r="G133">
        <v>1116.06</v>
      </c>
      <c r="H133">
        <f>E133 - D133</f>
        <v>1</v>
      </c>
      <c r="I133">
        <f>F133 - G133</f>
        <v>0.91000000000008185</v>
      </c>
      <c r="J133" t="str">
        <f>TRIM(C133)</f>
        <v>CAF</v>
      </c>
      <c r="K133" s="1">
        <f>SUMIF(C:C, "UEFA", F:F)</f>
        <v>75949.19</v>
      </c>
      <c r="L133" s="1">
        <f>COUNTIF(C:C, "CAF")</f>
        <v>54</v>
      </c>
      <c r="M133" s="1">
        <f>SUMIFS(F:F, C:C, "UEFA", D:D, "&lt;=20")</f>
        <v>20285.549999999996</v>
      </c>
    </row>
    <row r="134" spans="1:13" x14ac:dyDescent="0.2">
      <c r="A134" s="1" t="s">
        <v>276</v>
      </c>
      <c r="B134" s="1" t="s">
        <v>277</v>
      </c>
      <c r="C134" s="1" t="s">
        <v>50</v>
      </c>
      <c r="D134">
        <v>133</v>
      </c>
      <c r="E134">
        <v>134</v>
      </c>
      <c r="F134">
        <v>1115.1300000000001</v>
      </c>
      <c r="G134">
        <v>1115.1300000000001</v>
      </c>
      <c r="H134">
        <f>E134 - D134</f>
        <v>1</v>
      </c>
      <c r="I134">
        <f>F134 - G134</f>
        <v>0</v>
      </c>
      <c r="J134" t="str">
        <f>TRIM(C134)</f>
        <v>AFC</v>
      </c>
      <c r="K134" s="1">
        <f>SUMIF(C:C, "UEFA", F:F)</f>
        <v>75949.19</v>
      </c>
      <c r="L134" s="1">
        <f>COUNTIF(C:C, "CAF")</f>
        <v>54</v>
      </c>
      <c r="M134" s="1">
        <f>SUMIFS(F:F, C:C, "UEFA", D:D, "&lt;=20")</f>
        <v>20285.549999999996</v>
      </c>
    </row>
    <row r="135" spans="1:13" x14ac:dyDescent="0.2">
      <c r="A135" s="1" t="s">
        <v>278</v>
      </c>
      <c r="B135" s="1" t="s">
        <v>279</v>
      </c>
      <c r="C135" s="1" t="s">
        <v>12</v>
      </c>
      <c r="D135">
        <v>134</v>
      </c>
      <c r="E135">
        <v>129</v>
      </c>
      <c r="F135">
        <v>1114.21</v>
      </c>
      <c r="G135">
        <v>1125.3599999999999</v>
      </c>
      <c r="H135">
        <f>E135 - D135</f>
        <v>-5</v>
      </c>
      <c r="I135">
        <f>F135 - G135</f>
        <v>-11.149999999999864</v>
      </c>
      <c r="J135" t="str">
        <f>TRIM(C135)</f>
        <v>UEFA</v>
      </c>
      <c r="K135" s="1">
        <f>SUMIF(C:C, "UEFA", F:F)</f>
        <v>75949.19</v>
      </c>
      <c r="L135" s="1">
        <f>COUNTIF(C:C, "CAF")</f>
        <v>54</v>
      </c>
      <c r="M135" s="1">
        <f>SUMIFS(F:F, C:C, "UEFA", D:D, "&lt;=20")</f>
        <v>20285.549999999996</v>
      </c>
    </row>
    <row r="136" spans="1:13" x14ac:dyDescent="0.2">
      <c r="A136" s="1" t="s">
        <v>280</v>
      </c>
      <c r="B136" s="1" t="s">
        <v>281</v>
      </c>
      <c r="C136" s="1" t="s">
        <v>50</v>
      </c>
      <c r="D136">
        <v>135</v>
      </c>
      <c r="E136">
        <v>135</v>
      </c>
      <c r="F136">
        <v>1100.47</v>
      </c>
      <c r="G136">
        <v>1100.47</v>
      </c>
      <c r="H136">
        <f>E136 - D136</f>
        <v>0</v>
      </c>
      <c r="I136">
        <f>F136 - G136</f>
        <v>0</v>
      </c>
      <c r="J136" t="str">
        <f>TRIM(C136)</f>
        <v>AFC</v>
      </c>
      <c r="K136" s="1">
        <f>SUMIF(C:C, "UEFA", F:F)</f>
        <v>75949.19</v>
      </c>
      <c r="L136" s="1">
        <f>COUNTIF(C:C, "CAF")</f>
        <v>54</v>
      </c>
      <c r="M136" s="1">
        <f>SUMIFS(F:F, C:C, "UEFA", D:D, "&lt;=20")</f>
        <v>20285.549999999996</v>
      </c>
    </row>
    <row r="137" spans="1:13" x14ac:dyDescent="0.2">
      <c r="A137" s="1" t="s">
        <v>282</v>
      </c>
      <c r="B137" s="1" t="s">
        <v>283</v>
      </c>
      <c r="C137" s="1" t="s">
        <v>221</v>
      </c>
      <c r="D137">
        <v>136</v>
      </c>
      <c r="E137">
        <v>137</v>
      </c>
      <c r="F137">
        <v>1095.7</v>
      </c>
      <c r="G137">
        <v>1092.56</v>
      </c>
      <c r="H137">
        <f>E137 - D137</f>
        <v>1</v>
      </c>
      <c r="I137">
        <f>F137 - G137</f>
        <v>3.1400000000001</v>
      </c>
      <c r="J137" t="str">
        <f>TRIM(C137)</f>
        <v>OFC</v>
      </c>
      <c r="K137" s="1">
        <f>SUMIF(C:C, "UEFA", F:F)</f>
        <v>75949.19</v>
      </c>
      <c r="L137" s="1">
        <f>COUNTIF(C:C, "CAF")</f>
        <v>54</v>
      </c>
      <c r="M137" s="1">
        <f>SUMIFS(F:F, C:C, "UEFA", D:D, "&lt;=20")</f>
        <v>20285.549999999996</v>
      </c>
    </row>
    <row r="138" spans="1:13" x14ac:dyDescent="0.2">
      <c r="A138" s="1" t="s">
        <v>284</v>
      </c>
      <c r="B138" s="1" t="s">
        <v>285</v>
      </c>
      <c r="C138" s="1" t="s">
        <v>45</v>
      </c>
      <c r="D138">
        <v>137</v>
      </c>
      <c r="E138">
        <v>136</v>
      </c>
      <c r="F138">
        <v>1093.6600000000001</v>
      </c>
      <c r="G138">
        <v>1095.04</v>
      </c>
      <c r="H138">
        <f>E138 - D138</f>
        <v>-1</v>
      </c>
      <c r="I138">
        <f>F138 - G138</f>
        <v>-1.3799999999998818</v>
      </c>
      <c r="J138" t="str">
        <f>TRIM(C138)</f>
        <v>CAF</v>
      </c>
      <c r="K138" s="1">
        <f>SUMIF(C:C, "UEFA", F:F)</f>
        <v>75949.19</v>
      </c>
      <c r="L138" s="1">
        <f>COUNTIF(C:C, "CAF")</f>
        <v>54</v>
      </c>
      <c r="M138" s="1">
        <f>SUMIFS(F:F, C:C, "UEFA", D:D, "&lt;=20")</f>
        <v>20285.549999999996</v>
      </c>
    </row>
    <row r="139" spans="1:13" x14ac:dyDescent="0.2">
      <c r="A139" s="1" t="s">
        <v>286</v>
      </c>
      <c r="B139" s="1" t="s">
        <v>287</v>
      </c>
      <c r="C139" s="1" t="s">
        <v>45</v>
      </c>
      <c r="D139">
        <v>138</v>
      </c>
      <c r="E139">
        <v>138</v>
      </c>
      <c r="F139">
        <v>1091.19</v>
      </c>
      <c r="G139">
        <v>1088.27</v>
      </c>
      <c r="H139">
        <f>E139 - D139</f>
        <v>0</v>
      </c>
      <c r="I139">
        <f>F139 - G139</f>
        <v>2.9200000000000728</v>
      </c>
      <c r="J139" t="str">
        <f>TRIM(C139)</f>
        <v>CAF</v>
      </c>
      <c r="K139" s="1">
        <f>SUMIF(C:C, "UEFA", F:F)</f>
        <v>75949.19</v>
      </c>
      <c r="L139" s="1">
        <f>COUNTIF(C:C, "CAF")</f>
        <v>54</v>
      </c>
      <c r="M139" s="1">
        <f>SUMIFS(F:F, C:C, "UEFA", D:D, "&lt;=20")</f>
        <v>20285.549999999996</v>
      </c>
    </row>
    <row r="140" spans="1:13" x14ac:dyDescent="0.2">
      <c r="A140" s="1" t="s">
        <v>288</v>
      </c>
      <c r="B140" s="1" t="s">
        <v>289</v>
      </c>
      <c r="C140" s="1" t="s">
        <v>35</v>
      </c>
      <c r="D140">
        <v>139</v>
      </c>
      <c r="E140">
        <v>143</v>
      </c>
      <c r="F140">
        <v>1077.3</v>
      </c>
      <c r="G140">
        <v>1072.24</v>
      </c>
      <c r="H140">
        <f>E140 - D140</f>
        <v>4</v>
      </c>
      <c r="I140">
        <f>F140 - G140</f>
        <v>5.0599999999999454</v>
      </c>
      <c r="J140" t="str">
        <f>TRIM(C140)</f>
        <v>CONCACAF</v>
      </c>
      <c r="K140" s="1">
        <f>SUMIF(C:C, "UEFA", F:F)</f>
        <v>75949.19</v>
      </c>
      <c r="L140" s="1">
        <f>COUNTIF(C:C, "CAF")</f>
        <v>54</v>
      </c>
      <c r="M140" s="1">
        <f>SUMIFS(F:F, C:C, "UEFA", D:D, "&lt;=20")</f>
        <v>20285.549999999996</v>
      </c>
    </row>
    <row r="141" spans="1:13" x14ac:dyDescent="0.2">
      <c r="A141" s="1" t="s">
        <v>290</v>
      </c>
      <c r="B141" s="1" t="s">
        <v>291</v>
      </c>
      <c r="C141" s="1" t="s">
        <v>35</v>
      </c>
      <c r="D141">
        <v>140</v>
      </c>
      <c r="E141">
        <v>140</v>
      </c>
      <c r="F141">
        <v>1076.9100000000001</v>
      </c>
      <c r="G141">
        <v>1076.9100000000001</v>
      </c>
      <c r="H141">
        <f>E141 - D141</f>
        <v>0</v>
      </c>
      <c r="I141">
        <f>F141 - G141</f>
        <v>0</v>
      </c>
      <c r="J141" t="str">
        <f>TRIM(C141)</f>
        <v>CONCACAF</v>
      </c>
      <c r="K141" s="1">
        <f>SUMIF(C:C, "UEFA", F:F)</f>
        <v>75949.19</v>
      </c>
      <c r="L141" s="1">
        <f>COUNTIF(C:C, "CAF")</f>
        <v>54</v>
      </c>
      <c r="M141" s="1">
        <f>SUMIFS(F:F, C:C, "UEFA", D:D, "&lt;=20")</f>
        <v>20285.549999999996</v>
      </c>
    </row>
    <row r="142" spans="1:13" x14ac:dyDescent="0.2">
      <c r="A142" s="1" t="s">
        <v>292</v>
      </c>
      <c r="B142" s="1" t="s">
        <v>293</v>
      </c>
      <c r="C142" s="1" t="s">
        <v>45</v>
      </c>
      <c r="D142">
        <v>141</v>
      </c>
      <c r="E142">
        <v>141</v>
      </c>
      <c r="F142">
        <v>1076.26</v>
      </c>
      <c r="G142">
        <v>1076.26</v>
      </c>
      <c r="H142">
        <f>E142 - D142</f>
        <v>0</v>
      </c>
      <c r="I142">
        <f>F142 - G142</f>
        <v>0</v>
      </c>
      <c r="J142" t="str">
        <f>TRIM(C142)</f>
        <v>CAF</v>
      </c>
      <c r="K142" s="1">
        <f>SUMIF(C:C, "UEFA", F:F)</f>
        <v>75949.19</v>
      </c>
      <c r="L142" s="1">
        <f>COUNTIF(C:C, "CAF")</f>
        <v>54</v>
      </c>
      <c r="M142" s="1">
        <f>SUMIFS(F:F, C:C, "UEFA", D:D, "&lt;=20")</f>
        <v>20285.549999999996</v>
      </c>
    </row>
    <row r="143" spans="1:13" x14ac:dyDescent="0.2">
      <c r="A143" s="1" t="s">
        <v>294</v>
      </c>
      <c r="B143" s="1" t="s">
        <v>295</v>
      </c>
      <c r="C143" s="1" t="s">
        <v>35</v>
      </c>
      <c r="D143">
        <v>142</v>
      </c>
      <c r="E143">
        <v>139</v>
      </c>
      <c r="F143">
        <v>1071.83</v>
      </c>
      <c r="G143">
        <v>1079.18</v>
      </c>
      <c r="H143">
        <f>E143 - D143</f>
        <v>-3</v>
      </c>
      <c r="I143">
        <f>F143 - G143</f>
        <v>-7.3500000000001364</v>
      </c>
      <c r="J143" t="str">
        <f>TRIM(C143)</f>
        <v>CONCACAF</v>
      </c>
      <c r="K143" s="1">
        <f>SUMIF(C:C, "UEFA", F:F)</f>
        <v>75949.19</v>
      </c>
      <c r="L143" s="1">
        <f>COUNTIF(C:C, "CAF")</f>
        <v>54</v>
      </c>
      <c r="M143" s="1">
        <f>SUMIFS(F:F, C:C, "UEFA", D:D, "&lt;=20")</f>
        <v>20285.549999999996</v>
      </c>
    </row>
    <row r="144" spans="1:13" x14ac:dyDescent="0.2">
      <c r="A144" s="1" t="s">
        <v>296</v>
      </c>
      <c r="B144" s="1" t="s">
        <v>297</v>
      </c>
      <c r="C144" s="1" t="s">
        <v>45</v>
      </c>
      <c r="D144">
        <v>143</v>
      </c>
      <c r="E144">
        <v>144</v>
      </c>
      <c r="F144">
        <v>1070.8900000000001</v>
      </c>
      <c r="G144">
        <v>1070.8900000000001</v>
      </c>
      <c r="H144">
        <f>E144 - D144</f>
        <v>1</v>
      </c>
      <c r="I144">
        <f>F144 - G144</f>
        <v>0</v>
      </c>
      <c r="J144" t="str">
        <f>TRIM(C144)</f>
        <v>CAF</v>
      </c>
      <c r="K144" s="1">
        <f>SUMIF(C:C, "UEFA", F:F)</f>
        <v>75949.19</v>
      </c>
      <c r="L144" s="1">
        <f>COUNTIF(C:C, "CAF")</f>
        <v>54</v>
      </c>
      <c r="M144" s="1">
        <f>SUMIFS(F:F, C:C, "UEFA", D:D, "&lt;=20")</f>
        <v>20285.549999999996</v>
      </c>
    </row>
    <row r="145" spans="1:13" x14ac:dyDescent="0.2">
      <c r="A145" s="1" t="s">
        <v>298</v>
      </c>
      <c r="B145" s="1" t="s">
        <v>299</v>
      </c>
      <c r="C145" s="1" t="s">
        <v>12</v>
      </c>
      <c r="D145">
        <v>144</v>
      </c>
      <c r="E145">
        <v>142</v>
      </c>
      <c r="F145">
        <v>1069.75</v>
      </c>
      <c r="G145">
        <v>1074.08</v>
      </c>
      <c r="H145">
        <f>E145 - D145</f>
        <v>-2</v>
      </c>
      <c r="I145">
        <f>F145 - G145</f>
        <v>-4.3299999999999272</v>
      </c>
      <c r="J145" t="str">
        <f>TRIM(C145)</f>
        <v>UEFA</v>
      </c>
      <c r="K145" s="1">
        <f>SUMIF(C:C, "UEFA", F:F)</f>
        <v>75949.19</v>
      </c>
      <c r="L145" s="1">
        <f>COUNTIF(C:C, "CAF")</f>
        <v>54</v>
      </c>
      <c r="M145" s="1">
        <f>SUMIFS(F:F, C:C, "UEFA", D:D, "&lt;=20")</f>
        <v>20285.549999999996</v>
      </c>
    </row>
    <row r="146" spans="1:13" x14ac:dyDescent="0.2">
      <c r="A146" s="1" t="s">
        <v>300</v>
      </c>
      <c r="B146" s="1" t="s">
        <v>301</v>
      </c>
      <c r="C146" s="1" t="s">
        <v>50</v>
      </c>
      <c r="D146">
        <v>145</v>
      </c>
      <c r="E146">
        <v>147</v>
      </c>
      <c r="F146">
        <v>1062.3900000000001</v>
      </c>
      <c r="G146">
        <v>1058.3699999999999</v>
      </c>
      <c r="H146">
        <f>E146 - D146</f>
        <v>2</v>
      </c>
      <c r="I146">
        <f>F146 - G146</f>
        <v>4.0200000000002092</v>
      </c>
      <c r="J146" t="str">
        <f>TRIM(C146)</f>
        <v>AFC</v>
      </c>
      <c r="K146" s="1">
        <f>SUMIF(C:C, "UEFA", F:F)</f>
        <v>75949.19</v>
      </c>
      <c r="L146" s="1">
        <f>COUNTIF(C:C, "CAF")</f>
        <v>54</v>
      </c>
      <c r="M146" s="1">
        <f>SUMIFS(F:F, C:C, "UEFA", D:D, "&lt;=20")</f>
        <v>20285.549999999996</v>
      </c>
    </row>
    <row r="147" spans="1:13" x14ac:dyDescent="0.2">
      <c r="A147" s="1" t="s">
        <v>302</v>
      </c>
      <c r="B147" s="1" t="s">
        <v>303</v>
      </c>
      <c r="C147" s="1" t="s">
        <v>50</v>
      </c>
      <c r="D147">
        <v>146</v>
      </c>
      <c r="E147">
        <v>148</v>
      </c>
      <c r="F147">
        <v>1062.32</v>
      </c>
      <c r="G147">
        <v>1057.5899999999999</v>
      </c>
      <c r="H147">
        <f>E147 - D147</f>
        <v>2</v>
      </c>
      <c r="I147">
        <f>F147 - G147</f>
        <v>4.7300000000000182</v>
      </c>
      <c r="J147" t="str">
        <f>TRIM(C147)</f>
        <v>AFC</v>
      </c>
      <c r="K147" s="1">
        <f>SUMIF(C:C, "UEFA", F:F)</f>
        <v>75949.19</v>
      </c>
      <c r="L147" s="1">
        <f>COUNTIF(C:C, "CAF")</f>
        <v>54</v>
      </c>
      <c r="M147" s="1">
        <f>SUMIFS(F:F, C:C, "UEFA", D:D, "&lt;=20")</f>
        <v>20285.549999999996</v>
      </c>
    </row>
    <row r="148" spans="1:13" x14ac:dyDescent="0.2">
      <c r="A148" s="1" t="s">
        <v>304</v>
      </c>
      <c r="B148" s="1" t="s">
        <v>305</v>
      </c>
      <c r="C148" s="1" t="s">
        <v>45</v>
      </c>
      <c r="D148">
        <v>147</v>
      </c>
      <c r="E148">
        <v>145</v>
      </c>
      <c r="F148">
        <v>1061.4000000000001</v>
      </c>
      <c r="G148">
        <v>1061.4000000000001</v>
      </c>
      <c r="H148">
        <f>E148 - D148</f>
        <v>-2</v>
      </c>
      <c r="I148">
        <f>F148 - G148</f>
        <v>0</v>
      </c>
      <c r="J148" t="str">
        <f>TRIM(C148)</f>
        <v>CAF</v>
      </c>
      <c r="K148" s="1">
        <f>SUMIF(C:C, "UEFA", F:F)</f>
        <v>75949.19</v>
      </c>
      <c r="L148" s="1">
        <f>COUNTIF(C:C, "CAF")</f>
        <v>54</v>
      </c>
      <c r="M148" s="1">
        <f>SUMIFS(F:F, C:C, "UEFA", D:D, "&lt;=20")</f>
        <v>20285.549999999996</v>
      </c>
    </row>
    <row r="149" spans="1:13" x14ac:dyDescent="0.2">
      <c r="A149" s="1" t="s">
        <v>306</v>
      </c>
      <c r="B149" s="1" t="s">
        <v>307</v>
      </c>
      <c r="C149" s="1" t="s">
        <v>45</v>
      </c>
      <c r="D149">
        <v>148</v>
      </c>
      <c r="E149">
        <v>146</v>
      </c>
      <c r="F149">
        <v>1056.46</v>
      </c>
      <c r="G149">
        <v>1060.17</v>
      </c>
      <c r="H149">
        <f>E149 - D149</f>
        <v>-2</v>
      </c>
      <c r="I149">
        <f>F149 - G149</f>
        <v>-3.7100000000000364</v>
      </c>
      <c r="J149" t="str">
        <f>TRIM(C149)</f>
        <v>CAF</v>
      </c>
      <c r="K149" s="1">
        <f>SUMIF(C:C, "UEFA", F:F)</f>
        <v>75949.19</v>
      </c>
      <c r="L149" s="1">
        <f>COUNTIF(C:C, "CAF")</f>
        <v>54</v>
      </c>
      <c r="M149" s="1">
        <f>SUMIFS(F:F, C:C, "UEFA", D:D, "&lt;=20")</f>
        <v>20285.549999999996</v>
      </c>
    </row>
    <row r="150" spans="1:13" x14ac:dyDescent="0.2">
      <c r="A150" s="1" t="s">
        <v>308</v>
      </c>
      <c r="B150" s="1" t="s">
        <v>309</v>
      </c>
      <c r="C150" s="1" t="s">
        <v>50</v>
      </c>
      <c r="D150">
        <v>149</v>
      </c>
      <c r="E150">
        <v>149</v>
      </c>
      <c r="F150">
        <v>1053.4100000000001</v>
      </c>
      <c r="G150">
        <v>1053.4100000000001</v>
      </c>
      <c r="H150">
        <f>E150 - D150</f>
        <v>0</v>
      </c>
      <c r="I150">
        <f>F150 - G150</f>
        <v>0</v>
      </c>
      <c r="J150" t="str">
        <f>TRIM(C150)</f>
        <v>AFC</v>
      </c>
      <c r="K150" s="1">
        <f>SUMIF(C:C, "UEFA", F:F)</f>
        <v>75949.19</v>
      </c>
      <c r="L150" s="1">
        <f>COUNTIF(C:C, "CAF")</f>
        <v>54</v>
      </c>
      <c r="M150" s="1">
        <f>SUMIFS(F:F, C:C, "UEFA", D:D, "&lt;=20")</f>
        <v>20285.549999999996</v>
      </c>
    </row>
    <row r="151" spans="1:13" x14ac:dyDescent="0.2">
      <c r="A151" s="1" t="s">
        <v>310</v>
      </c>
      <c r="B151" s="1" t="s">
        <v>311</v>
      </c>
      <c r="C151" s="1" t="s">
        <v>45</v>
      </c>
      <c r="D151">
        <v>150</v>
      </c>
      <c r="E151">
        <v>150</v>
      </c>
      <c r="F151">
        <v>1049.6600000000001</v>
      </c>
      <c r="G151">
        <v>1051.25</v>
      </c>
      <c r="H151">
        <f>E151 - D151</f>
        <v>0</v>
      </c>
      <c r="I151">
        <f>F151 - G151</f>
        <v>-1.5899999999999181</v>
      </c>
      <c r="J151" t="str">
        <f>TRIM(C151)</f>
        <v>CAF</v>
      </c>
      <c r="K151" s="1">
        <f>SUMIF(C:C, "UEFA", F:F)</f>
        <v>75949.19</v>
      </c>
      <c r="L151" s="1">
        <f>COUNTIF(C:C, "CAF")</f>
        <v>54</v>
      </c>
      <c r="M151" s="1">
        <f>SUMIFS(F:F, C:C, "UEFA", D:D, "&lt;=20")</f>
        <v>20285.549999999996</v>
      </c>
    </row>
    <row r="152" spans="1:13" x14ac:dyDescent="0.2">
      <c r="A152" s="1" t="s">
        <v>312</v>
      </c>
      <c r="B152" s="1" t="s">
        <v>313</v>
      </c>
      <c r="C152" s="1" t="s">
        <v>12</v>
      </c>
      <c r="D152">
        <v>151</v>
      </c>
      <c r="E152">
        <v>152</v>
      </c>
      <c r="F152">
        <v>1035.2</v>
      </c>
      <c r="G152">
        <v>1028.7</v>
      </c>
      <c r="H152">
        <f>E152 - D152</f>
        <v>1</v>
      </c>
      <c r="I152">
        <f>F152 - G152</f>
        <v>6.5</v>
      </c>
      <c r="J152" t="str">
        <f>TRIM(C152)</f>
        <v>UEFA</v>
      </c>
      <c r="K152" s="1">
        <f>SUMIF(C:C, "UEFA", F:F)</f>
        <v>75949.19</v>
      </c>
      <c r="L152" s="1">
        <f>COUNTIF(C:C, "CAF")</f>
        <v>54</v>
      </c>
      <c r="M152" s="1">
        <f>SUMIFS(F:F, C:C, "UEFA", D:D, "&lt;=20")</f>
        <v>20285.549999999996</v>
      </c>
    </row>
    <row r="153" spans="1:13" x14ac:dyDescent="0.2">
      <c r="A153" s="1" t="s">
        <v>314</v>
      </c>
      <c r="B153" s="1" t="s">
        <v>315</v>
      </c>
      <c r="C153" s="1" t="s">
        <v>50</v>
      </c>
      <c r="D153">
        <v>152</v>
      </c>
      <c r="E153">
        <v>155</v>
      </c>
      <c r="F153">
        <v>1033.9000000000001</v>
      </c>
      <c r="G153">
        <v>1019.19</v>
      </c>
      <c r="H153">
        <f>E153 - D153</f>
        <v>3</v>
      </c>
      <c r="I153">
        <f>F153 - G153</f>
        <v>14.710000000000036</v>
      </c>
      <c r="J153" t="str">
        <f>TRIM(C153)</f>
        <v>AFC</v>
      </c>
      <c r="K153" s="1">
        <f>SUMIF(C:C, "UEFA", F:F)</f>
        <v>75949.19</v>
      </c>
      <c r="L153" s="1">
        <f>COUNTIF(C:C, "CAF")</f>
        <v>54</v>
      </c>
      <c r="M153" s="1">
        <f>SUMIFS(F:F, C:C, "UEFA", D:D, "&lt;=20")</f>
        <v>20285.549999999996</v>
      </c>
    </row>
    <row r="154" spans="1:13" x14ac:dyDescent="0.2">
      <c r="A154" s="1" t="s">
        <v>316</v>
      </c>
      <c r="B154" s="1" t="s">
        <v>317</v>
      </c>
      <c r="C154" s="1" t="s">
        <v>35</v>
      </c>
      <c r="D154">
        <v>153</v>
      </c>
      <c r="E154">
        <v>151</v>
      </c>
      <c r="F154">
        <v>1031.8599999999999</v>
      </c>
      <c r="G154">
        <v>1031.8599999999999</v>
      </c>
      <c r="H154">
        <f>E154 - D154</f>
        <v>-2</v>
      </c>
      <c r="I154">
        <f>F154 - G154</f>
        <v>0</v>
      </c>
      <c r="J154" t="str">
        <f>TRIM(C154)</f>
        <v>CONCACAF</v>
      </c>
      <c r="K154" s="1">
        <f>SUMIF(C:C, "UEFA", F:F)</f>
        <v>75949.19</v>
      </c>
      <c r="L154" s="1">
        <f>COUNTIF(C:C, "CAF")</f>
        <v>54</v>
      </c>
      <c r="M154" s="1">
        <f>SUMIFS(F:F, C:C, "UEFA", D:D, "&lt;=20")</f>
        <v>20285.549999999996</v>
      </c>
    </row>
    <row r="155" spans="1:13" x14ac:dyDescent="0.2">
      <c r="A155" s="1" t="s">
        <v>318</v>
      </c>
      <c r="B155" s="1" t="s">
        <v>319</v>
      </c>
      <c r="C155" s="1" t="s">
        <v>50</v>
      </c>
      <c r="D155">
        <v>154</v>
      </c>
      <c r="E155">
        <v>156</v>
      </c>
      <c r="F155">
        <v>1026.0899999999999</v>
      </c>
      <c r="G155">
        <v>1018.25</v>
      </c>
      <c r="H155">
        <f>E155 - D155</f>
        <v>2</v>
      </c>
      <c r="I155">
        <f>F155 - G155</f>
        <v>7.8399999999999181</v>
      </c>
      <c r="J155" t="str">
        <f>TRIM(C155)</f>
        <v>AFC</v>
      </c>
      <c r="K155" s="1">
        <f>SUMIF(C:C, "UEFA", F:F)</f>
        <v>75949.19</v>
      </c>
      <c r="L155" s="1">
        <f>COUNTIF(C:C, "CAF")</f>
        <v>54</v>
      </c>
      <c r="M155" s="1">
        <f>SUMIFS(F:F, C:C, "UEFA", D:D, "&lt;=20")</f>
        <v>20285.549999999996</v>
      </c>
    </row>
    <row r="156" spans="1:13" x14ac:dyDescent="0.2">
      <c r="A156" s="1" t="s">
        <v>320</v>
      </c>
      <c r="B156" s="1" t="s">
        <v>321</v>
      </c>
      <c r="C156" s="1" t="s">
        <v>50</v>
      </c>
      <c r="D156">
        <v>155</v>
      </c>
      <c r="E156">
        <v>153</v>
      </c>
      <c r="F156">
        <v>1023.52</v>
      </c>
      <c r="G156">
        <v>1023.52</v>
      </c>
      <c r="H156">
        <f>E156 - D156</f>
        <v>-2</v>
      </c>
      <c r="I156">
        <f>F156 - G156</f>
        <v>0</v>
      </c>
      <c r="J156" t="str">
        <f>TRIM(C156)</f>
        <v>AFC</v>
      </c>
      <c r="K156" s="1">
        <f>SUMIF(C:C, "UEFA", F:F)</f>
        <v>75949.19</v>
      </c>
      <c r="L156" s="1">
        <f>COUNTIF(C:C, "CAF")</f>
        <v>54</v>
      </c>
      <c r="M156" s="1">
        <f>SUMIFS(F:F, C:C, "UEFA", D:D, "&lt;=20")</f>
        <v>20285.549999999996</v>
      </c>
    </row>
    <row r="157" spans="1:13" x14ac:dyDescent="0.2">
      <c r="A157" s="1" t="s">
        <v>322</v>
      </c>
      <c r="B157" s="1" t="s">
        <v>323</v>
      </c>
      <c r="C157" s="1" t="s">
        <v>50</v>
      </c>
      <c r="D157">
        <v>156</v>
      </c>
      <c r="E157">
        <v>154</v>
      </c>
      <c r="F157">
        <v>1023.04</v>
      </c>
      <c r="G157">
        <v>1023.04</v>
      </c>
      <c r="H157">
        <f>E157 - D157</f>
        <v>-2</v>
      </c>
      <c r="I157">
        <f>F157 - G157</f>
        <v>0</v>
      </c>
      <c r="J157" t="str">
        <f>TRIM(C157)</f>
        <v>AFC</v>
      </c>
      <c r="K157" s="1">
        <f>SUMIF(C:C, "UEFA", F:F)</f>
        <v>75949.19</v>
      </c>
      <c r="L157" s="1">
        <f>COUNTIF(C:C, "CAF")</f>
        <v>54</v>
      </c>
      <c r="M157" s="1">
        <f>SUMIFS(F:F, C:C, "UEFA", D:D, "&lt;=20")</f>
        <v>20285.549999999996</v>
      </c>
    </row>
    <row r="158" spans="1:13" x14ac:dyDescent="0.2">
      <c r="A158" s="1" t="s">
        <v>324</v>
      </c>
      <c r="B158" s="1" t="s">
        <v>325</v>
      </c>
      <c r="C158" s="1" t="s">
        <v>50</v>
      </c>
      <c r="D158">
        <v>157</v>
      </c>
      <c r="E158">
        <v>157</v>
      </c>
      <c r="F158">
        <v>1017.78</v>
      </c>
      <c r="G158">
        <v>1017.78</v>
      </c>
      <c r="H158">
        <f>E158 - D158</f>
        <v>0</v>
      </c>
      <c r="I158">
        <f>F158 - G158</f>
        <v>0</v>
      </c>
      <c r="J158" t="str">
        <f>TRIM(C158)</f>
        <v>AFC</v>
      </c>
      <c r="K158" s="1">
        <f>SUMIF(C:C, "UEFA", F:F)</f>
        <v>75949.19</v>
      </c>
      <c r="L158" s="1">
        <f>COUNTIF(C:C, "CAF")</f>
        <v>54</v>
      </c>
      <c r="M158" s="1">
        <f>SUMIFS(F:F, C:C, "UEFA", D:D, "&lt;=20")</f>
        <v>20285.549999999996</v>
      </c>
    </row>
    <row r="159" spans="1:13" x14ac:dyDescent="0.2">
      <c r="A159" s="1" t="s">
        <v>326</v>
      </c>
      <c r="B159" s="1" t="s">
        <v>327</v>
      </c>
      <c r="C159" s="1" t="s">
        <v>50</v>
      </c>
      <c r="D159">
        <v>158</v>
      </c>
      <c r="E159">
        <v>158</v>
      </c>
      <c r="F159">
        <v>1007.89</v>
      </c>
      <c r="G159">
        <v>1011.91</v>
      </c>
      <c r="H159">
        <f>E159 - D159</f>
        <v>0</v>
      </c>
      <c r="I159">
        <f>F159 - G159</f>
        <v>-4.0199999999999818</v>
      </c>
      <c r="J159" t="str">
        <f>TRIM(C159)</f>
        <v>AFC</v>
      </c>
      <c r="K159" s="1">
        <f>SUMIF(C:C, "UEFA", F:F)</f>
        <v>75949.19</v>
      </c>
      <c r="L159" s="1">
        <f>COUNTIF(C:C, "CAF")</f>
        <v>54</v>
      </c>
      <c r="M159" s="1">
        <f>SUMIFS(F:F, C:C, "UEFA", D:D, "&lt;=20")</f>
        <v>20285.549999999996</v>
      </c>
    </row>
    <row r="160" spans="1:13" x14ac:dyDescent="0.2">
      <c r="A160" s="1" t="s">
        <v>328</v>
      </c>
      <c r="B160" s="1" t="s">
        <v>329</v>
      </c>
      <c r="C160" s="1" t="s">
        <v>221</v>
      </c>
      <c r="D160">
        <v>159</v>
      </c>
      <c r="E160">
        <v>161</v>
      </c>
      <c r="F160">
        <v>1007.46</v>
      </c>
      <c r="G160">
        <v>997.6</v>
      </c>
      <c r="H160">
        <f>E160 - D160</f>
        <v>2</v>
      </c>
      <c r="I160">
        <f>F160 - G160</f>
        <v>9.8600000000000136</v>
      </c>
      <c r="J160" t="str">
        <f>TRIM(C160)</f>
        <v>OFC</v>
      </c>
      <c r="K160" s="1">
        <f>SUMIF(C:C, "UEFA", F:F)</f>
        <v>75949.19</v>
      </c>
      <c r="L160" s="1">
        <f>COUNTIF(C:C, "CAF")</f>
        <v>54</v>
      </c>
      <c r="M160" s="1">
        <f>SUMIFS(F:F, C:C, "UEFA", D:D, "&lt;=20")</f>
        <v>20285.549999999996</v>
      </c>
    </row>
    <row r="161" spans="1:13" x14ac:dyDescent="0.2">
      <c r="A161" s="1" t="s">
        <v>330</v>
      </c>
      <c r="B161" s="1" t="s">
        <v>331</v>
      </c>
      <c r="C161" s="1" t="s">
        <v>50</v>
      </c>
      <c r="D161">
        <v>160</v>
      </c>
      <c r="E161">
        <v>159</v>
      </c>
      <c r="F161">
        <v>1003.5</v>
      </c>
      <c r="G161">
        <v>1004.75</v>
      </c>
      <c r="H161">
        <f>E161 - D161</f>
        <v>-1</v>
      </c>
      <c r="I161">
        <f>F161 - G161</f>
        <v>-1.25</v>
      </c>
      <c r="J161" t="str">
        <f>TRIM(C161)</f>
        <v>AFC</v>
      </c>
      <c r="K161" s="1">
        <f>SUMIF(C:C, "UEFA", F:F)</f>
        <v>75949.19</v>
      </c>
      <c r="L161" s="1">
        <f>COUNTIF(C:C, "CAF")</f>
        <v>54</v>
      </c>
      <c r="M161" s="1">
        <f>SUMIFS(F:F, C:C, "UEFA", D:D, "&lt;=20")</f>
        <v>20285.549999999996</v>
      </c>
    </row>
    <row r="162" spans="1:13" x14ac:dyDescent="0.2">
      <c r="A162" s="1" t="s">
        <v>332</v>
      </c>
      <c r="B162" s="1" t="s">
        <v>333</v>
      </c>
      <c r="C162" s="1" t="s">
        <v>221</v>
      </c>
      <c r="D162">
        <v>161</v>
      </c>
      <c r="E162">
        <v>160</v>
      </c>
      <c r="F162">
        <v>995.58</v>
      </c>
      <c r="G162">
        <v>999.7</v>
      </c>
      <c r="H162">
        <f>E162 - D162</f>
        <v>-1</v>
      </c>
      <c r="I162">
        <f>F162 - G162</f>
        <v>-4.1200000000000045</v>
      </c>
      <c r="J162" t="str">
        <f>TRIM(C162)</f>
        <v>OFC</v>
      </c>
      <c r="K162" s="1">
        <f>SUMIF(C:C, "UEFA", F:F)</f>
        <v>75949.19</v>
      </c>
      <c r="L162" s="1">
        <f>COUNTIF(C:C, "CAF")</f>
        <v>54</v>
      </c>
      <c r="M162" s="1">
        <f>SUMIFS(F:F, C:C, "UEFA", D:D, "&lt;=20")</f>
        <v>20285.549999999996</v>
      </c>
    </row>
    <row r="163" spans="1:13" x14ac:dyDescent="0.2">
      <c r="A163" s="1" t="s">
        <v>334</v>
      </c>
      <c r="B163" s="1" t="s">
        <v>335</v>
      </c>
      <c r="C163" s="1" t="s">
        <v>221</v>
      </c>
      <c r="D163">
        <v>162</v>
      </c>
      <c r="E163">
        <v>162</v>
      </c>
      <c r="F163">
        <v>995.11</v>
      </c>
      <c r="G163">
        <v>995.11</v>
      </c>
      <c r="H163">
        <f>E163 - D163</f>
        <v>0</v>
      </c>
      <c r="I163">
        <f>F163 - G163</f>
        <v>0</v>
      </c>
      <c r="J163" t="str">
        <f>TRIM(C163)</f>
        <v>OFC</v>
      </c>
      <c r="K163" s="1">
        <f>SUMIF(C:C, "UEFA", F:F)</f>
        <v>75949.19</v>
      </c>
      <c r="L163" s="1">
        <f>COUNTIF(C:C, "CAF")</f>
        <v>54</v>
      </c>
      <c r="M163" s="1">
        <f>SUMIFS(F:F, C:C, "UEFA", D:D, "&lt;=20")</f>
        <v>20285.549999999996</v>
      </c>
    </row>
    <row r="164" spans="1:13" x14ac:dyDescent="0.2">
      <c r="A164" s="1" t="s">
        <v>336</v>
      </c>
      <c r="B164" s="1" t="s">
        <v>337</v>
      </c>
      <c r="C164" s="1" t="s">
        <v>221</v>
      </c>
      <c r="D164">
        <v>163</v>
      </c>
      <c r="E164">
        <v>163</v>
      </c>
      <c r="F164">
        <v>989.43</v>
      </c>
      <c r="G164">
        <v>993.37</v>
      </c>
      <c r="H164">
        <f>E164 - D164</f>
        <v>0</v>
      </c>
      <c r="I164">
        <f>F164 - G164</f>
        <v>-3.9400000000000546</v>
      </c>
      <c r="J164" t="str">
        <f>TRIM(C164)</f>
        <v>OFC</v>
      </c>
      <c r="K164" s="1">
        <f>SUMIF(C:C, "UEFA", F:F)</f>
        <v>75949.19</v>
      </c>
      <c r="L164" s="1">
        <f>COUNTIF(C:C, "CAF")</f>
        <v>54</v>
      </c>
      <c r="M164" s="1">
        <f>SUMIFS(F:F, C:C, "UEFA", D:D, "&lt;=20")</f>
        <v>20285.549999999996</v>
      </c>
    </row>
    <row r="165" spans="1:13" x14ac:dyDescent="0.2">
      <c r="A165" s="1" t="s">
        <v>338</v>
      </c>
      <c r="B165" s="1" t="s">
        <v>339</v>
      </c>
      <c r="C165" s="1" t="s">
        <v>221</v>
      </c>
      <c r="D165">
        <v>164</v>
      </c>
      <c r="E165">
        <v>164</v>
      </c>
      <c r="F165">
        <v>985.62</v>
      </c>
      <c r="G165">
        <v>990.55</v>
      </c>
      <c r="H165">
        <f>E165 - D165</f>
        <v>0</v>
      </c>
      <c r="I165">
        <f>F165 - G165</f>
        <v>-4.92999999999995</v>
      </c>
      <c r="J165" t="str">
        <f>TRIM(C165)</f>
        <v>OFC</v>
      </c>
      <c r="K165" s="1">
        <f>SUMIF(C:C, "UEFA", F:F)</f>
        <v>75949.19</v>
      </c>
      <c r="L165" s="1">
        <f>COUNTIF(C:C, "CAF")</f>
        <v>54</v>
      </c>
      <c r="M165" s="1">
        <f>SUMIFS(F:F, C:C, "UEFA", D:D, "&lt;=20")</f>
        <v>20285.549999999996</v>
      </c>
    </row>
    <row r="166" spans="1:13" x14ac:dyDescent="0.2">
      <c r="A166" s="1" t="s">
        <v>340</v>
      </c>
      <c r="B166" s="1" t="s">
        <v>341</v>
      </c>
      <c r="C166" s="1" t="s">
        <v>45</v>
      </c>
      <c r="D166">
        <v>165</v>
      </c>
      <c r="E166">
        <v>165</v>
      </c>
      <c r="F166">
        <v>983.99</v>
      </c>
      <c r="G166">
        <v>983.99</v>
      </c>
      <c r="H166">
        <f>E166 - D166</f>
        <v>0</v>
      </c>
      <c r="I166">
        <f>F166 - G166</f>
        <v>0</v>
      </c>
      <c r="J166" t="str">
        <f>TRIM(C166)</f>
        <v>CAF</v>
      </c>
      <c r="K166" s="1">
        <f>SUMIF(C:C, "UEFA", F:F)</f>
        <v>75949.19</v>
      </c>
      <c r="L166" s="1">
        <f>COUNTIF(C:C, "CAF")</f>
        <v>54</v>
      </c>
      <c r="M166" s="1">
        <f>SUMIFS(F:F, C:C, "UEFA", D:D, "&lt;=20")</f>
        <v>20285.549999999996</v>
      </c>
    </row>
    <row r="167" spans="1:13" x14ac:dyDescent="0.2">
      <c r="A167" s="1" t="s">
        <v>342</v>
      </c>
      <c r="B167" s="1" t="s">
        <v>343</v>
      </c>
      <c r="C167" s="1" t="s">
        <v>35</v>
      </c>
      <c r="D167">
        <v>166</v>
      </c>
      <c r="E167">
        <v>166</v>
      </c>
      <c r="F167">
        <v>982.27</v>
      </c>
      <c r="G167">
        <v>982.27</v>
      </c>
      <c r="H167">
        <f>E167 - D167</f>
        <v>0</v>
      </c>
      <c r="I167">
        <f>F167 - G167</f>
        <v>0</v>
      </c>
      <c r="J167" t="str">
        <f>TRIM(C167)</f>
        <v>CONCACAF</v>
      </c>
      <c r="K167" s="1">
        <f>SUMIF(C:C, "UEFA", F:F)</f>
        <v>75949.19</v>
      </c>
      <c r="L167" s="1">
        <f>COUNTIF(C:C, "CAF")</f>
        <v>54</v>
      </c>
      <c r="M167" s="1">
        <f>SUMIFS(F:F, C:C, "UEFA", D:D, "&lt;=20")</f>
        <v>20285.549999999996</v>
      </c>
    </row>
    <row r="168" spans="1:13" x14ac:dyDescent="0.2">
      <c r="A168" s="1" t="s">
        <v>344</v>
      </c>
      <c r="B168" s="1" t="s">
        <v>345</v>
      </c>
      <c r="C168" s="1" t="s">
        <v>35</v>
      </c>
      <c r="D168">
        <v>167</v>
      </c>
      <c r="E168">
        <v>167</v>
      </c>
      <c r="F168">
        <v>978.65</v>
      </c>
      <c r="G168">
        <v>978.65</v>
      </c>
      <c r="H168">
        <f>E168 - D168</f>
        <v>0</v>
      </c>
      <c r="I168">
        <f>F168 - G168</f>
        <v>0</v>
      </c>
      <c r="J168" t="str">
        <f>TRIM(C168)</f>
        <v>CONCACAF</v>
      </c>
      <c r="K168" s="1">
        <f>SUMIF(C:C, "UEFA", F:F)</f>
        <v>75949.19</v>
      </c>
      <c r="L168" s="1">
        <f>COUNTIF(C:C, "CAF")</f>
        <v>54</v>
      </c>
      <c r="M168" s="1">
        <f>SUMIFS(F:F, C:C, "UEFA", D:D, "&lt;=20")</f>
        <v>20285.549999999996</v>
      </c>
    </row>
    <row r="169" spans="1:13" x14ac:dyDescent="0.2">
      <c r="A169" s="1" t="s">
        <v>346</v>
      </c>
      <c r="B169" s="1" t="s">
        <v>347</v>
      </c>
      <c r="C169" s="1" t="s">
        <v>12</v>
      </c>
      <c r="D169">
        <v>168</v>
      </c>
      <c r="E169">
        <v>169</v>
      </c>
      <c r="F169">
        <v>977.92</v>
      </c>
      <c r="G169">
        <v>974.68</v>
      </c>
      <c r="H169">
        <f>E169 - D169</f>
        <v>1</v>
      </c>
      <c r="I169">
        <f>F169 - G169</f>
        <v>3.2400000000000091</v>
      </c>
      <c r="J169" t="str">
        <f>TRIM(C169)</f>
        <v>UEFA</v>
      </c>
      <c r="K169" s="1">
        <f>SUMIF(C:C, "UEFA", F:F)</f>
        <v>75949.19</v>
      </c>
      <c r="L169" s="1">
        <f>COUNTIF(C:C, "CAF")</f>
        <v>54</v>
      </c>
      <c r="M169" s="1">
        <f>SUMIFS(F:F, C:C, "UEFA", D:D, "&lt;=20")</f>
        <v>20285.549999999996</v>
      </c>
    </row>
    <row r="170" spans="1:13" x14ac:dyDescent="0.2">
      <c r="A170" s="1" t="s">
        <v>348</v>
      </c>
      <c r="B170" s="1" t="s">
        <v>349</v>
      </c>
      <c r="C170" s="1" t="s">
        <v>35</v>
      </c>
      <c r="D170">
        <v>169</v>
      </c>
      <c r="E170">
        <v>168</v>
      </c>
      <c r="F170">
        <v>977.47</v>
      </c>
      <c r="G170">
        <v>977.47</v>
      </c>
      <c r="H170">
        <f>E170 - D170</f>
        <v>-1</v>
      </c>
      <c r="I170">
        <f>F170 - G170</f>
        <v>0</v>
      </c>
      <c r="J170" t="str">
        <f>TRIM(C170)</f>
        <v>CONCACAF</v>
      </c>
      <c r="K170" s="1">
        <f>SUMIF(C:C, "UEFA", F:F)</f>
        <v>75949.19</v>
      </c>
      <c r="L170" s="1">
        <f>COUNTIF(C:C, "CAF")</f>
        <v>54</v>
      </c>
      <c r="M170" s="1">
        <f>SUMIFS(F:F, C:C, "UEFA", D:D, "&lt;=20")</f>
        <v>20285.549999999996</v>
      </c>
    </row>
    <row r="171" spans="1:13" x14ac:dyDescent="0.2">
      <c r="A171" s="1" t="s">
        <v>350</v>
      </c>
      <c r="B171" s="1" t="s">
        <v>351</v>
      </c>
      <c r="C171" s="1" t="s">
        <v>35</v>
      </c>
      <c r="D171">
        <v>170</v>
      </c>
      <c r="E171">
        <v>170</v>
      </c>
      <c r="F171">
        <v>974.32</v>
      </c>
      <c r="G171">
        <v>974.32</v>
      </c>
      <c r="H171">
        <f>E171 - D171</f>
        <v>0</v>
      </c>
      <c r="I171">
        <f>F171 - G171</f>
        <v>0</v>
      </c>
      <c r="J171" t="str">
        <f>TRIM(C171)</f>
        <v>CONCACAF</v>
      </c>
      <c r="K171" s="1">
        <f>SUMIF(C:C, "UEFA", F:F)</f>
        <v>75949.19</v>
      </c>
      <c r="L171" s="1">
        <f>COUNTIF(C:C, "CAF")</f>
        <v>54</v>
      </c>
      <c r="M171" s="1">
        <f>SUMIFS(F:F, C:C, "UEFA", D:D, "&lt;=20")</f>
        <v>20285.549999999996</v>
      </c>
    </row>
    <row r="172" spans="1:13" x14ac:dyDescent="0.2">
      <c r="A172" s="1" t="s">
        <v>352</v>
      </c>
      <c r="B172" s="1" t="s">
        <v>353</v>
      </c>
      <c r="C172" s="1" t="s">
        <v>35</v>
      </c>
      <c r="D172">
        <v>171</v>
      </c>
      <c r="E172">
        <v>172</v>
      </c>
      <c r="F172">
        <v>968.74</v>
      </c>
      <c r="G172">
        <v>968.74</v>
      </c>
      <c r="H172">
        <f>E172 - D172</f>
        <v>1</v>
      </c>
      <c r="I172">
        <f>F172 - G172</f>
        <v>0</v>
      </c>
      <c r="J172" t="str">
        <f>TRIM(C172)</f>
        <v>CONCACAF</v>
      </c>
      <c r="K172" s="1">
        <f>SUMIF(C:C, "UEFA", F:F)</f>
        <v>75949.19</v>
      </c>
      <c r="L172" s="1">
        <f>COUNTIF(C:C, "CAF")</f>
        <v>54</v>
      </c>
      <c r="M172" s="1">
        <f>SUMIFS(F:F, C:C, "UEFA", D:D, "&lt;=20")</f>
        <v>20285.549999999996</v>
      </c>
    </row>
    <row r="173" spans="1:13" x14ac:dyDescent="0.2">
      <c r="A173" s="1" t="s">
        <v>354</v>
      </c>
      <c r="B173" s="1" t="s">
        <v>355</v>
      </c>
      <c r="C173" s="1" t="s">
        <v>35</v>
      </c>
      <c r="D173">
        <v>172</v>
      </c>
      <c r="E173">
        <v>173</v>
      </c>
      <c r="F173">
        <v>965.66</v>
      </c>
      <c r="G173">
        <v>965.66</v>
      </c>
      <c r="H173">
        <f>E173 - D173</f>
        <v>1</v>
      </c>
      <c r="I173">
        <f>F173 - G173</f>
        <v>0</v>
      </c>
      <c r="J173" t="str">
        <f>TRIM(C173)</f>
        <v>CONCACAF</v>
      </c>
      <c r="K173" s="1">
        <f>SUMIF(C:C, "UEFA", F:F)</f>
        <v>75949.19</v>
      </c>
      <c r="L173" s="1">
        <f>COUNTIF(C:C, "CAF")</f>
        <v>54</v>
      </c>
      <c r="M173" s="1">
        <f>SUMIFS(F:F, C:C, "UEFA", D:D, "&lt;=20")</f>
        <v>20285.549999999996</v>
      </c>
    </row>
    <row r="174" spans="1:13" x14ac:dyDescent="0.2">
      <c r="A174" s="1" t="s">
        <v>356</v>
      </c>
      <c r="B174" s="1" t="s">
        <v>357</v>
      </c>
      <c r="C174" s="1" t="s">
        <v>35</v>
      </c>
      <c r="D174">
        <v>173</v>
      </c>
      <c r="E174">
        <v>171</v>
      </c>
      <c r="F174">
        <v>963.72</v>
      </c>
      <c r="G174">
        <v>969</v>
      </c>
      <c r="H174">
        <f>E174 - D174</f>
        <v>-2</v>
      </c>
      <c r="I174">
        <f>F174 - G174</f>
        <v>-5.2799999999999727</v>
      </c>
      <c r="J174" t="str">
        <f>TRIM(C174)</f>
        <v>CONCACAF</v>
      </c>
      <c r="K174" s="1">
        <f>SUMIF(C:C, "UEFA", F:F)</f>
        <v>75949.19</v>
      </c>
      <c r="L174" s="1">
        <f>COUNTIF(C:C, "CAF")</f>
        <v>54</v>
      </c>
      <c r="M174" s="1">
        <f>SUMIFS(F:F, C:C, "UEFA", D:D, "&lt;=20")</f>
        <v>20285.549999999996</v>
      </c>
    </row>
    <row r="175" spans="1:13" x14ac:dyDescent="0.2">
      <c r="A175" s="1" t="s">
        <v>358</v>
      </c>
      <c r="B175" s="1" t="s">
        <v>359</v>
      </c>
      <c r="C175" s="1" t="s">
        <v>12</v>
      </c>
      <c r="D175">
        <v>174</v>
      </c>
      <c r="E175">
        <v>177</v>
      </c>
      <c r="F175">
        <v>961.23</v>
      </c>
      <c r="G175">
        <v>944.96</v>
      </c>
      <c r="H175">
        <f>E175 - D175</f>
        <v>3</v>
      </c>
      <c r="I175">
        <f>F175 - G175</f>
        <v>16.269999999999982</v>
      </c>
      <c r="J175" t="str">
        <f>TRIM(C175)</f>
        <v>UEFA</v>
      </c>
      <c r="K175" s="1">
        <f>SUMIF(C:C, "UEFA", F:F)</f>
        <v>75949.19</v>
      </c>
      <c r="L175" s="1">
        <f>COUNTIF(C:C, "CAF")</f>
        <v>54</v>
      </c>
      <c r="M175" s="1">
        <f>SUMIFS(F:F, C:C, "UEFA", D:D, "&lt;=20")</f>
        <v>20285.549999999996</v>
      </c>
    </row>
    <row r="176" spans="1:13" x14ac:dyDescent="0.2">
      <c r="A176" s="1" t="s">
        <v>360</v>
      </c>
      <c r="B176" s="1" t="s">
        <v>361</v>
      </c>
      <c r="C176" s="1" t="s">
        <v>50</v>
      </c>
      <c r="D176">
        <v>175</v>
      </c>
      <c r="E176">
        <v>176</v>
      </c>
      <c r="F176">
        <v>954.86</v>
      </c>
      <c r="G176">
        <v>950.45</v>
      </c>
      <c r="H176">
        <f>E176 - D176</f>
        <v>1</v>
      </c>
      <c r="I176">
        <f>F176 - G176</f>
        <v>4.4099999999999682</v>
      </c>
      <c r="J176" t="str">
        <f>TRIM(C176)</f>
        <v>AFC</v>
      </c>
      <c r="K176" s="1">
        <f>SUMIF(C:C, "UEFA", F:F)</f>
        <v>75949.19</v>
      </c>
      <c r="L176" s="1">
        <f>COUNTIF(C:C, "CAF")</f>
        <v>54</v>
      </c>
      <c r="M176" s="1">
        <f>SUMIFS(F:F, C:C, "UEFA", D:D, "&lt;=20")</f>
        <v>20285.549999999996</v>
      </c>
    </row>
    <row r="177" spans="1:13" x14ac:dyDescent="0.2">
      <c r="A177" s="1" t="s">
        <v>362</v>
      </c>
      <c r="B177" s="1" t="s">
        <v>363</v>
      </c>
      <c r="C177" s="1" t="s">
        <v>35</v>
      </c>
      <c r="D177">
        <v>176</v>
      </c>
      <c r="E177">
        <v>175</v>
      </c>
      <c r="F177">
        <v>950.88</v>
      </c>
      <c r="G177">
        <v>950.88</v>
      </c>
      <c r="H177">
        <f>E177 - D177</f>
        <v>-1</v>
      </c>
      <c r="I177">
        <f>F177 - G177</f>
        <v>0</v>
      </c>
      <c r="J177" t="str">
        <f>TRIM(C177)</f>
        <v>CONCACAF</v>
      </c>
      <c r="K177" s="1">
        <f>SUMIF(C:C, "UEFA", F:F)</f>
        <v>75949.19</v>
      </c>
      <c r="L177" s="1">
        <f>COUNTIF(C:C, "CAF")</f>
        <v>54</v>
      </c>
      <c r="M177" s="1">
        <f>SUMIFS(F:F, C:C, "UEFA", D:D, "&lt;=20")</f>
        <v>20285.549999999996</v>
      </c>
    </row>
    <row r="178" spans="1:13" x14ac:dyDescent="0.2">
      <c r="A178" s="1" t="s">
        <v>364</v>
      </c>
      <c r="B178" s="1" t="s">
        <v>365</v>
      </c>
      <c r="C178" s="1" t="s">
        <v>50</v>
      </c>
      <c r="D178">
        <v>177</v>
      </c>
      <c r="E178">
        <v>174</v>
      </c>
      <c r="F178">
        <v>948.62</v>
      </c>
      <c r="G178">
        <v>954.3</v>
      </c>
      <c r="H178">
        <f>E178 - D178</f>
        <v>-3</v>
      </c>
      <c r="I178">
        <f>F178 - G178</f>
        <v>-5.67999999999995</v>
      </c>
      <c r="J178" t="str">
        <f>TRIM(C178)</f>
        <v>AFC</v>
      </c>
      <c r="K178" s="1">
        <f>SUMIF(C:C, "UEFA", F:F)</f>
        <v>75949.19</v>
      </c>
      <c r="L178" s="1">
        <f>COUNTIF(C:C, "CAF")</f>
        <v>54</v>
      </c>
      <c r="M178" s="1">
        <f>SUMIFS(F:F, C:C, "UEFA", D:D, "&lt;=20")</f>
        <v>20285.549999999996</v>
      </c>
    </row>
    <row r="179" spans="1:13" x14ac:dyDescent="0.2">
      <c r="A179" s="1" t="s">
        <v>366</v>
      </c>
      <c r="B179" s="1" t="s">
        <v>367</v>
      </c>
      <c r="C179" s="1" t="s">
        <v>35</v>
      </c>
      <c r="D179">
        <v>178</v>
      </c>
      <c r="E179">
        <v>179</v>
      </c>
      <c r="F179">
        <v>945.25</v>
      </c>
      <c r="G179">
        <v>939.97</v>
      </c>
      <c r="H179">
        <f>E179 - D179</f>
        <v>1</v>
      </c>
      <c r="I179">
        <f>F179 - G179</f>
        <v>5.2799999999999727</v>
      </c>
      <c r="J179" t="str">
        <f>TRIM(C179)</f>
        <v>CONCACAF</v>
      </c>
      <c r="K179" s="1">
        <f>SUMIF(C:C, "UEFA", F:F)</f>
        <v>75949.19</v>
      </c>
      <c r="L179" s="1">
        <f>COUNTIF(C:C, "CAF")</f>
        <v>54</v>
      </c>
      <c r="M179" s="1">
        <f>SUMIFS(F:F, C:C, "UEFA", D:D, "&lt;=20")</f>
        <v>20285.549999999996</v>
      </c>
    </row>
    <row r="180" spans="1:13" x14ac:dyDescent="0.2">
      <c r="A180" s="1" t="s">
        <v>368</v>
      </c>
      <c r="B180" s="1" t="s">
        <v>369</v>
      </c>
      <c r="C180" s="1" t="s">
        <v>35</v>
      </c>
      <c r="D180">
        <v>179</v>
      </c>
      <c r="E180">
        <v>178</v>
      </c>
      <c r="F180">
        <v>940.78</v>
      </c>
      <c r="G180">
        <v>940.78</v>
      </c>
      <c r="H180">
        <f>E180 - D180</f>
        <v>-1</v>
      </c>
      <c r="I180">
        <f>F180 - G180</f>
        <v>0</v>
      </c>
      <c r="J180" t="str">
        <f>TRIM(C180)</f>
        <v>CONCACAF</v>
      </c>
      <c r="K180" s="1">
        <f>SUMIF(C:C, "UEFA", F:F)</f>
        <v>75949.19</v>
      </c>
      <c r="L180" s="1">
        <f>COUNTIF(C:C, "CAF")</f>
        <v>54</v>
      </c>
      <c r="M180" s="1">
        <f>SUMIFS(F:F, C:C, "UEFA", D:D, "&lt;=20")</f>
        <v>20285.549999999996</v>
      </c>
    </row>
    <row r="181" spans="1:13" x14ac:dyDescent="0.2">
      <c r="A181" s="1" t="s">
        <v>370</v>
      </c>
      <c r="B181" s="1" t="s">
        <v>371</v>
      </c>
      <c r="C181" s="1" t="s">
        <v>45</v>
      </c>
      <c r="D181">
        <v>180</v>
      </c>
      <c r="E181">
        <v>180</v>
      </c>
      <c r="F181">
        <v>932.02</v>
      </c>
      <c r="G181">
        <v>932.02</v>
      </c>
      <c r="H181">
        <f>E181 - D181</f>
        <v>0</v>
      </c>
      <c r="I181">
        <f>F181 - G181</f>
        <v>0</v>
      </c>
      <c r="J181" t="str">
        <f>TRIM(C181)</f>
        <v>CAF</v>
      </c>
      <c r="K181" s="1">
        <f>SUMIF(C:C, "UEFA", F:F)</f>
        <v>75949.19</v>
      </c>
      <c r="L181" s="1">
        <f>COUNTIF(C:C, "CAF")</f>
        <v>54</v>
      </c>
      <c r="M181" s="1">
        <f>SUMIFS(F:F, C:C, "UEFA", D:D, "&lt;=20")</f>
        <v>20285.549999999996</v>
      </c>
    </row>
    <row r="182" spans="1:13" x14ac:dyDescent="0.2">
      <c r="A182" s="1" t="s">
        <v>372</v>
      </c>
      <c r="B182" s="1" t="s">
        <v>373</v>
      </c>
      <c r="C182" s="1" t="s">
        <v>45</v>
      </c>
      <c r="D182">
        <v>181</v>
      </c>
      <c r="E182">
        <v>181</v>
      </c>
      <c r="F182">
        <v>930.22</v>
      </c>
      <c r="G182">
        <v>931.98</v>
      </c>
      <c r="H182">
        <f>E182 - D182</f>
        <v>0</v>
      </c>
      <c r="I182">
        <f>F182 - G182</f>
        <v>-1.7599999999999909</v>
      </c>
      <c r="J182" t="str">
        <f>TRIM(C182)</f>
        <v>CAF</v>
      </c>
      <c r="K182" s="1">
        <f>SUMIF(C:C, "UEFA", F:F)</f>
        <v>75949.19</v>
      </c>
      <c r="L182" s="1">
        <f>COUNTIF(C:C, "CAF")</f>
        <v>54</v>
      </c>
      <c r="M182" s="1">
        <f>SUMIFS(F:F, C:C, "UEFA", D:D, "&lt;=20")</f>
        <v>20285.549999999996</v>
      </c>
    </row>
    <row r="183" spans="1:13" x14ac:dyDescent="0.2">
      <c r="A183" s="1" t="s">
        <v>374</v>
      </c>
      <c r="B183" s="1" t="s">
        <v>375</v>
      </c>
      <c r="C183" s="1" t="s">
        <v>50</v>
      </c>
      <c r="D183">
        <v>182</v>
      </c>
      <c r="E183">
        <v>182</v>
      </c>
      <c r="F183">
        <v>922.1</v>
      </c>
      <c r="G183">
        <v>922.1</v>
      </c>
      <c r="H183">
        <f>E183 - D183</f>
        <v>0</v>
      </c>
      <c r="I183">
        <f>F183 - G183</f>
        <v>0</v>
      </c>
      <c r="J183" t="str">
        <f>TRIM(C183)</f>
        <v>AFC</v>
      </c>
      <c r="K183" s="1">
        <f>SUMIF(C:C, "UEFA", F:F)</f>
        <v>75949.19</v>
      </c>
      <c r="L183" s="1">
        <f>COUNTIF(C:C, "CAF")</f>
        <v>54</v>
      </c>
      <c r="M183" s="1">
        <f>SUMIFS(F:F, C:C, "UEFA", D:D, "&lt;=20")</f>
        <v>20285.549999999996</v>
      </c>
    </row>
    <row r="184" spans="1:13" x14ac:dyDescent="0.2">
      <c r="A184" s="1" t="s">
        <v>376</v>
      </c>
      <c r="B184" s="1" t="s">
        <v>377</v>
      </c>
      <c r="C184" s="1" t="s">
        <v>50</v>
      </c>
      <c r="D184">
        <v>183</v>
      </c>
      <c r="E184">
        <v>184</v>
      </c>
      <c r="F184">
        <v>913.55</v>
      </c>
      <c r="G184">
        <v>913.55</v>
      </c>
      <c r="H184">
        <f>E184 - D184</f>
        <v>1</v>
      </c>
      <c r="I184">
        <f>F184 - G184</f>
        <v>0</v>
      </c>
      <c r="J184" t="str">
        <f>TRIM(C184)</f>
        <v>AFC</v>
      </c>
      <c r="K184" s="1">
        <f>SUMIF(C:C, "UEFA", F:F)</f>
        <v>75949.19</v>
      </c>
      <c r="L184" s="1">
        <f>COUNTIF(C:C, "CAF")</f>
        <v>54</v>
      </c>
      <c r="M184" s="1">
        <f>SUMIFS(F:F, C:C, "UEFA", D:D, "&lt;=20")</f>
        <v>20285.549999999996</v>
      </c>
    </row>
    <row r="185" spans="1:13" x14ac:dyDescent="0.2">
      <c r="A185" s="1" t="s">
        <v>378</v>
      </c>
      <c r="B185" s="1" t="s">
        <v>379</v>
      </c>
      <c r="C185" s="1" t="s">
        <v>35</v>
      </c>
      <c r="D185">
        <v>184</v>
      </c>
      <c r="E185">
        <v>185</v>
      </c>
      <c r="F185">
        <v>911.51</v>
      </c>
      <c r="G185">
        <v>911.51</v>
      </c>
      <c r="H185">
        <f>E185 - D185</f>
        <v>1</v>
      </c>
      <c r="I185">
        <f>F185 - G185</f>
        <v>0</v>
      </c>
      <c r="J185" t="str">
        <f>TRIM(C185)</f>
        <v>CONCACAF</v>
      </c>
      <c r="K185" s="1">
        <f>SUMIF(C:C, "UEFA", F:F)</f>
        <v>75949.19</v>
      </c>
      <c r="L185" s="1">
        <f>COUNTIF(C:C, "CAF")</f>
        <v>54</v>
      </c>
      <c r="M185" s="1">
        <f>SUMIFS(F:F, C:C, "UEFA", D:D, "&lt;=20")</f>
        <v>20285.549999999996</v>
      </c>
    </row>
    <row r="186" spans="1:13" x14ac:dyDescent="0.2">
      <c r="A186" s="1" t="s">
        <v>380</v>
      </c>
      <c r="B186" s="1" t="s">
        <v>381</v>
      </c>
      <c r="C186" s="1" t="s">
        <v>50</v>
      </c>
      <c r="D186">
        <v>185</v>
      </c>
      <c r="E186">
        <v>186</v>
      </c>
      <c r="F186">
        <v>910.96</v>
      </c>
      <c r="G186">
        <v>910.96</v>
      </c>
      <c r="H186">
        <f>E186 - D186</f>
        <v>1</v>
      </c>
      <c r="I186">
        <f>F186 - G186</f>
        <v>0</v>
      </c>
      <c r="J186" t="str">
        <f>TRIM(C186)</f>
        <v>AFC</v>
      </c>
      <c r="K186" s="1">
        <f>SUMIF(C:C, "UEFA", F:F)</f>
        <v>75949.19</v>
      </c>
      <c r="L186" s="1">
        <f>COUNTIF(C:C, "CAF")</f>
        <v>54</v>
      </c>
      <c r="M186" s="1">
        <f>SUMIFS(F:F, C:C, "UEFA", D:D, "&lt;=20")</f>
        <v>20285.549999999996</v>
      </c>
    </row>
    <row r="187" spans="1:13" x14ac:dyDescent="0.2">
      <c r="A187" s="1" t="s">
        <v>382</v>
      </c>
      <c r="B187" s="1" t="s">
        <v>383</v>
      </c>
      <c r="C187" s="1" t="s">
        <v>45</v>
      </c>
      <c r="D187">
        <v>186</v>
      </c>
      <c r="E187">
        <v>187</v>
      </c>
      <c r="F187">
        <v>908.18</v>
      </c>
      <c r="G187">
        <v>908.18</v>
      </c>
      <c r="H187">
        <f>E187 - D187</f>
        <v>1</v>
      </c>
      <c r="I187">
        <f>F187 - G187</f>
        <v>0</v>
      </c>
      <c r="J187" t="str">
        <f>TRIM(C187)</f>
        <v>CAF</v>
      </c>
      <c r="K187" s="1">
        <f>SUMIF(C:C, "UEFA", F:F)</f>
        <v>75949.19</v>
      </c>
      <c r="L187" s="1">
        <f>COUNTIF(C:C, "CAF")</f>
        <v>54</v>
      </c>
      <c r="M187" s="1">
        <f>SUMIFS(F:F, C:C, "UEFA", D:D, "&lt;=20")</f>
        <v>20285.549999999996</v>
      </c>
    </row>
    <row r="188" spans="1:13" x14ac:dyDescent="0.2">
      <c r="A188" s="1" t="s">
        <v>384</v>
      </c>
      <c r="B188" s="1" t="s">
        <v>385</v>
      </c>
      <c r="C188" s="1" t="s">
        <v>50</v>
      </c>
      <c r="D188">
        <v>187</v>
      </c>
      <c r="E188">
        <v>183</v>
      </c>
      <c r="F188">
        <v>905.51</v>
      </c>
      <c r="G188">
        <v>914.66</v>
      </c>
      <c r="H188">
        <f>E188 - D188</f>
        <v>-4</v>
      </c>
      <c r="I188">
        <f>F188 - G188</f>
        <v>-9.1499999999999773</v>
      </c>
      <c r="J188" t="str">
        <f>TRIM(C188)</f>
        <v>AFC</v>
      </c>
      <c r="K188" s="1">
        <f>SUMIF(C:C, "UEFA", F:F)</f>
        <v>75949.19</v>
      </c>
      <c r="L188" s="1">
        <f>COUNTIF(C:C, "CAF")</f>
        <v>54</v>
      </c>
      <c r="M188" s="1">
        <f>SUMIFS(F:F, C:C, "UEFA", D:D, "&lt;=20")</f>
        <v>20285.549999999996</v>
      </c>
    </row>
    <row r="189" spans="1:13" x14ac:dyDescent="0.2">
      <c r="A189" s="1" t="s">
        <v>386</v>
      </c>
      <c r="B189" s="1" t="s">
        <v>387</v>
      </c>
      <c r="C189" s="1" t="s">
        <v>221</v>
      </c>
      <c r="D189">
        <v>188</v>
      </c>
      <c r="E189">
        <v>188</v>
      </c>
      <c r="F189">
        <v>900.27</v>
      </c>
      <c r="G189">
        <v>900.27</v>
      </c>
      <c r="H189">
        <f>E189 - D189</f>
        <v>0</v>
      </c>
      <c r="I189">
        <f>F189 - G189</f>
        <v>0</v>
      </c>
      <c r="J189" t="str">
        <f>TRIM(C189)</f>
        <v>OFC</v>
      </c>
      <c r="K189" s="1">
        <f>SUMIF(C:C, "UEFA", F:F)</f>
        <v>75949.19</v>
      </c>
      <c r="L189" s="1">
        <f>COUNTIF(C:C, "CAF")</f>
        <v>54</v>
      </c>
      <c r="M189" s="1">
        <f>SUMIFS(F:F, C:C, "UEFA", D:D, "&lt;=20")</f>
        <v>20285.549999999996</v>
      </c>
    </row>
    <row r="190" spans="1:13" x14ac:dyDescent="0.2">
      <c r="A190" s="1" t="s">
        <v>388</v>
      </c>
      <c r="B190" s="1" t="s">
        <v>389</v>
      </c>
      <c r="C190" s="1" t="s">
        <v>221</v>
      </c>
      <c r="D190">
        <v>189</v>
      </c>
      <c r="E190">
        <v>189</v>
      </c>
      <c r="F190">
        <v>899.33</v>
      </c>
      <c r="G190">
        <v>899.33</v>
      </c>
      <c r="H190">
        <f>E190 - D190</f>
        <v>0</v>
      </c>
      <c r="I190">
        <f>F190 - G190</f>
        <v>0</v>
      </c>
      <c r="J190" t="str">
        <f>TRIM(C190)</f>
        <v>OFC</v>
      </c>
      <c r="K190" s="1">
        <f>SUMIF(C:C, "UEFA", F:F)</f>
        <v>75949.19</v>
      </c>
      <c r="L190" s="1">
        <f>COUNTIF(C:C, "CAF")</f>
        <v>54</v>
      </c>
      <c r="M190" s="1">
        <f>SUMIFS(F:F, C:C, "UEFA", D:D, "&lt;=20")</f>
        <v>20285.549999999996</v>
      </c>
    </row>
    <row r="191" spans="1:13" x14ac:dyDescent="0.2">
      <c r="A191" s="1" t="s">
        <v>390</v>
      </c>
      <c r="B191" s="1" t="s">
        <v>391</v>
      </c>
      <c r="C191" s="1" t="s">
        <v>50</v>
      </c>
      <c r="D191">
        <v>190</v>
      </c>
      <c r="E191">
        <v>190</v>
      </c>
      <c r="F191">
        <v>898.41</v>
      </c>
      <c r="G191">
        <v>897.1</v>
      </c>
      <c r="H191">
        <f>E191 - D191</f>
        <v>0</v>
      </c>
      <c r="I191">
        <f>F191 - G191</f>
        <v>1.3099999999999454</v>
      </c>
      <c r="J191" t="str">
        <f>TRIM(C191)</f>
        <v>AFC</v>
      </c>
      <c r="K191" s="1">
        <f>SUMIF(C:C, "UEFA", F:F)</f>
        <v>75949.19</v>
      </c>
      <c r="L191" s="1">
        <f>COUNTIF(C:C, "CAF")</f>
        <v>54</v>
      </c>
      <c r="M191" s="1">
        <f>SUMIFS(F:F, C:C, "UEFA", D:D, "&lt;=20")</f>
        <v>20285.549999999996</v>
      </c>
    </row>
    <row r="192" spans="1:13" x14ac:dyDescent="0.2">
      <c r="A192" s="1" t="s">
        <v>392</v>
      </c>
      <c r="B192" s="1" t="s">
        <v>393</v>
      </c>
      <c r="C192" s="1" t="s">
        <v>221</v>
      </c>
      <c r="D192">
        <v>191</v>
      </c>
      <c r="E192">
        <v>191</v>
      </c>
      <c r="F192">
        <v>894.26</v>
      </c>
      <c r="G192">
        <v>894.26</v>
      </c>
      <c r="H192">
        <f>E192 - D192</f>
        <v>0</v>
      </c>
      <c r="I192">
        <f>F192 - G192</f>
        <v>0</v>
      </c>
      <c r="J192" t="str">
        <f>TRIM(C192)</f>
        <v>OFC</v>
      </c>
      <c r="K192" s="1">
        <f>SUMIF(C:C, "UEFA", F:F)</f>
        <v>75949.19</v>
      </c>
      <c r="L192" s="1">
        <f>COUNTIF(C:C, "CAF")</f>
        <v>54</v>
      </c>
      <c r="M192" s="1">
        <f>SUMIFS(F:F, C:C, "UEFA", D:D, "&lt;=20")</f>
        <v>20285.549999999996</v>
      </c>
    </row>
    <row r="193" spans="1:13" x14ac:dyDescent="0.2">
      <c r="A193" s="1" t="s">
        <v>394</v>
      </c>
      <c r="B193" s="1" t="s">
        <v>395</v>
      </c>
      <c r="C193" s="1" t="s">
        <v>50</v>
      </c>
      <c r="D193">
        <v>192</v>
      </c>
      <c r="E193">
        <v>192</v>
      </c>
      <c r="F193">
        <v>884.45</v>
      </c>
      <c r="G193">
        <v>883.18</v>
      </c>
      <c r="H193">
        <f>E193 - D193</f>
        <v>0</v>
      </c>
      <c r="I193">
        <f>F193 - G193</f>
        <v>1.2700000000000955</v>
      </c>
      <c r="J193" t="str">
        <f>TRIM(C193)</f>
        <v>AFC</v>
      </c>
      <c r="K193" s="1">
        <f>SUMIF(C:C, "UEFA", F:F)</f>
        <v>75949.19</v>
      </c>
      <c r="L193" s="1">
        <f>COUNTIF(C:C, "CAF")</f>
        <v>54</v>
      </c>
      <c r="M193" s="1">
        <f>SUMIFS(F:F, C:C, "UEFA", D:D, "&lt;=20")</f>
        <v>20285.549999999996</v>
      </c>
    </row>
    <row r="194" spans="1:13" x14ac:dyDescent="0.2">
      <c r="A194" s="1" t="s">
        <v>396</v>
      </c>
      <c r="B194" s="1" t="s">
        <v>397</v>
      </c>
      <c r="C194" s="1" t="s">
        <v>45</v>
      </c>
      <c r="D194">
        <v>193</v>
      </c>
      <c r="E194">
        <v>193</v>
      </c>
      <c r="F194">
        <v>875.05</v>
      </c>
      <c r="G194">
        <v>877.84</v>
      </c>
      <c r="H194">
        <f>E194 - D194</f>
        <v>0</v>
      </c>
      <c r="I194">
        <f>F194 - G194</f>
        <v>-2.7900000000000773</v>
      </c>
      <c r="J194" t="str">
        <f>TRIM(C194)</f>
        <v>CAF</v>
      </c>
      <c r="K194" s="1">
        <f>SUMIF(C:C, "UEFA", F:F)</f>
        <v>75949.19</v>
      </c>
      <c r="L194" s="1">
        <f>COUNTIF(C:C, "CAF")</f>
        <v>54</v>
      </c>
      <c r="M194" s="1">
        <f>SUMIFS(F:F, C:C, "UEFA", D:D, "&lt;=20")</f>
        <v>20285.549999999996</v>
      </c>
    </row>
    <row r="195" spans="1:13" x14ac:dyDescent="0.2">
      <c r="A195" s="1" t="s">
        <v>398</v>
      </c>
      <c r="B195" s="1" t="s">
        <v>399</v>
      </c>
      <c r="C195" s="1" t="s">
        <v>50</v>
      </c>
      <c r="D195">
        <v>194</v>
      </c>
      <c r="E195">
        <v>195</v>
      </c>
      <c r="F195">
        <v>866.81</v>
      </c>
      <c r="G195">
        <v>866.81</v>
      </c>
      <c r="H195">
        <f>E195 - D195</f>
        <v>1</v>
      </c>
      <c r="I195">
        <f>F195 - G195</f>
        <v>0</v>
      </c>
      <c r="J195" t="str">
        <f>TRIM(C195)</f>
        <v>AFC</v>
      </c>
      <c r="K195" s="1">
        <f>SUMIF(C:C, "UEFA", F:F)</f>
        <v>75949.19</v>
      </c>
      <c r="L195" s="1">
        <f>COUNTIF(C:C, "CAF")</f>
        <v>54</v>
      </c>
      <c r="M195" s="1">
        <f>SUMIFS(F:F, C:C, "UEFA", D:D, "&lt;=20")</f>
        <v>20285.549999999996</v>
      </c>
    </row>
    <row r="196" spans="1:13" x14ac:dyDescent="0.2">
      <c r="A196" s="1" t="s">
        <v>400</v>
      </c>
      <c r="B196" s="1" t="s">
        <v>401</v>
      </c>
      <c r="C196" s="1" t="s">
        <v>35</v>
      </c>
      <c r="D196">
        <v>195</v>
      </c>
      <c r="E196">
        <v>196</v>
      </c>
      <c r="F196">
        <v>865.72</v>
      </c>
      <c r="G196">
        <v>865.72</v>
      </c>
      <c r="H196">
        <f>E196 - D196</f>
        <v>1</v>
      </c>
      <c r="I196">
        <f>F196 - G196</f>
        <v>0</v>
      </c>
      <c r="J196" t="str">
        <f>TRIM(C196)</f>
        <v>CONCACAF</v>
      </c>
      <c r="K196" s="1">
        <f>SUMIF(C:C, "UEFA", F:F)</f>
        <v>75949.19</v>
      </c>
      <c r="L196" s="1">
        <f>COUNTIF(C:C, "CAF")</f>
        <v>54</v>
      </c>
      <c r="M196" s="1">
        <f>SUMIFS(F:F, C:C, "UEFA", D:D, "&lt;=20")</f>
        <v>20285.549999999996</v>
      </c>
    </row>
    <row r="197" spans="1:13" x14ac:dyDescent="0.2">
      <c r="A197" s="1" t="s">
        <v>402</v>
      </c>
      <c r="B197" s="1" t="s">
        <v>403</v>
      </c>
      <c r="C197" s="1" t="s">
        <v>12</v>
      </c>
      <c r="D197">
        <v>196</v>
      </c>
      <c r="E197">
        <v>194</v>
      </c>
      <c r="F197">
        <v>862.39</v>
      </c>
      <c r="G197">
        <v>873.99</v>
      </c>
      <c r="H197">
        <f>E197 - D197</f>
        <v>-2</v>
      </c>
      <c r="I197">
        <f>F197 - G197</f>
        <v>-11.600000000000023</v>
      </c>
      <c r="J197" t="str">
        <f>TRIM(C197)</f>
        <v>UEFA</v>
      </c>
      <c r="K197" s="1">
        <f>SUMIF(C:C, "UEFA", F:F)</f>
        <v>75949.19</v>
      </c>
      <c r="L197" s="1">
        <f>COUNTIF(C:C, "CAF")</f>
        <v>54</v>
      </c>
      <c r="M197" s="1">
        <f>SUMIFS(F:F, C:C, "UEFA", D:D, "&lt;=20")</f>
        <v>20285.549999999996</v>
      </c>
    </row>
    <row r="198" spans="1:13" x14ac:dyDescent="0.2">
      <c r="A198" s="1" t="s">
        <v>404</v>
      </c>
      <c r="B198" s="1" t="s">
        <v>405</v>
      </c>
      <c r="C198" s="1" t="s">
        <v>221</v>
      </c>
      <c r="D198">
        <v>197</v>
      </c>
      <c r="E198">
        <v>197</v>
      </c>
      <c r="F198">
        <v>861.81</v>
      </c>
      <c r="G198">
        <v>861.81</v>
      </c>
      <c r="H198">
        <f>E198 - D198</f>
        <v>0</v>
      </c>
      <c r="I198">
        <f>F198 - G198</f>
        <v>0</v>
      </c>
      <c r="J198" t="str">
        <f>TRIM(C198)</f>
        <v>OFC</v>
      </c>
      <c r="K198" s="1">
        <f>SUMIF(C:C, "UEFA", F:F)</f>
        <v>75949.19</v>
      </c>
      <c r="L198" s="1">
        <f>COUNTIF(C:C, "CAF")</f>
        <v>54</v>
      </c>
      <c r="M198" s="1">
        <f>SUMIFS(F:F, C:C, "UEFA", D:D, "&lt;=20")</f>
        <v>20285.549999999996</v>
      </c>
    </row>
    <row r="199" spans="1:13" x14ac:dyDescent="0.2">
      <c r="A199" s="1" t="s">
        <v>406</v>
      </c>
      <c r="B199" s="1" t="s">
        <v>407</v>
      </c>
      <c r="C199" s="1" t="s">
        <v>50</v>
      </c>
      <c r="D199">
        <v>198</v>
      </c>
      <c r="E199">
        <v>199</v>
      </c>
      <c r="F199">
        <v>860.06</v>
      </c>
      <c r="G199">
        <v>860.06</v>
      </c>
      <c r="H199">
        <f>E199 - D199</f>
        <v>1</v>
      </c>
      <c r="I199">
        <f>F199 - G199</f>
        <v>0</v>
      </c>
      <c r="J199" t="str">
        <f>TRIM(C199)</f>
        <v>AFC</v>
      </c>
      <c r="K199" s="1">
        <f>SUMIF(C:C, "UEFA", F:F)</f>
        <v>75949.19</v>
      </c>
      <c r="L199" s="1">
        <f>COUNTIF(C:C, "CAF")</f>
        <v>54</v>
      </c>
      <c r="M199" s="1">
        <f>SUMIFS(F:F, C:C, "UEFA", D:D, "&lt;=20")</f>
        <v>20285.549999999996</v>
      </c>
    </row>
    <row r="200" spans="1:13" x14ac:dyDescent="0.2">
      <c r="A200" s="1" t="s">
        <v>408</v>
      </c>
      <c r="B200" s="1" t="s">
        <v>409</v>
      </c>
      <c r="C200" s="1" t="s">
        <v>45</v>
      </c>
      <c r="D200">
        <v>199</v>
      </c>
      <c r="E200">
        <v>198</v>
      </c>
      <c r="F200">
        <v>859.56</v>
      </c>
      <c r="G200">
        <v>860.48</v>
      </c>
      <c r="H200">
        <f>E200 - D200</f>
        <v>-1</v>
      </c>
      <c r="I200">
        <f>F200 - G200</f>
        <v>-0.92000000000007276</v>
      </c>
      <c r="J200" t="str">
        <f>TRIM(C200)</f>
        <v>CAF</v>
      </c>
      <c r="K200" s="1">
        <f>SUMIF(C:C, "UEFA", F:F)</f>
        <v>75949.19</v>
      </c>
      <c r="L200" s="1">
        <f>COUNTIF(C:C, "CAF")</f>
        <v>54</v>
      </c>
      <c r="M200" s="1">
        <f>SUMIFS(F:F, C:C, "UEFA", D:D, "&lt;=20")</f>
        <v>20285.549999999996</v>
      </c>
    </row>
    <row r="201" spans="1:13" x14ac:dyDescent="0.2">
      <c r="A201" s="1" t="s">
        <v>410</v>
      </c>
      <c r="B201" s="1" t="s">
        <v>411</v>
      </c>
      <c r="C201" s="1" t="s">
        <v>45</v>
      </c>
      <c r="D201">
        <v>200</v>
      </c>
      <c r="E201">
        <v>201</v>
      </c>
      <c r="F201">
        <v>855.56</v>
      </c>
      <c r="G201">
        <v>855.56</v>
      </c>
      <c r="H201">
        <f>E201 - D201</f>
        <v>1</v>
      </c>
      <c r="I201">
        <f>F201 - G201</f>
        <v>0</v>
      </c>
      <c r="J201" t="str">
        <f>TRIM(C201)</f>
        <v>CAF</v>
      </c>
      <c r="K201" s="1">
        <f>SUMIF(C:C, "UEFA", F:F)</f>
        <v>75949.19</v>
      </c>
      <c r="L201" s="1">
        <f>COUNTIF(C:C, "CAF")</f>
        <v>54</v>
      </c>
      <c r="M201" s="1">
        <f>SUMIFS(F:F, C:C, "UEFA", D:D, "&lt;=20")</f>
        <v>20285.549999999996</v>
      </c>
    </row>
    <row r="202" spans="1:13" x14ac:dyDescent="0.2">
      <c r="A202" s="1" t="s">
        <v>412</v>
      </c>
      <c r="B202" s="1" t="s">
        <v>413</v>
      </c>
      <c r="C202" s="1" t="s">
        <v>35</v>
      </c>
      <c r="D202">
        <v>201</v>
      </c>
      <c r="E202">
        <v>202</v>
      </c>
      <c r="F202">
        <v>855.37</v>
      </c>
      <c r="G202">
        <v>855.37</v>
      </c>
      <c r="H202">
        <f>E202 - D202</f>
        <v>1</v>
      </c>
      <c r="I202">
        <f>F202 - G202</f>
        <v>0</v>
      </c>
      <c r="J202" t="str">
        <f>TRIM(C202)</f>
        <v>CONCACAF</v>
      </c>
      <c r="K202" s="1">
        <f>SUMIF(C:C, "UEFA", F:F)</f>
        <v>75949.19</v>
      </c>
      <c r="L202" s="1">
        <f>COUNTIF(C:C, "CAF")</f>
        <v>54</v>
      </c>
      <c r="M202" s="1">
        <f>SUMIFS(F:F, C:C, "UEFA", D:D, "&lt;=20")</f>
        <v>20285.549999999996</v>
      </c>
    </row>
    <row r="203" spans="1:13" x14ac:dyDescent="0.2">
      <c r="A203" s="1" t="s">
        <v>414</v>
      </c>
      <c r="B203" s="1" t="s">
        <v>415</v>
      </c>
      <c r="C203" s="1" t="s">
        <v>35</v>
      </c>
      <c r="D203">
        <v>202</v>
      </c>
      <c r="E203">
        <v>203</v>
      </c>
      <c r="F203">
        <v>854.8</v>
      </c>
      <c r="G203">
        <v>854.8</v>
      </c>
      <c r="H203">
        <f>E203 - D203</f>
        <v>1</v>
      </c>
      <c r="I203">
        <f>F203 - G203</f>
        <v>0</v>
      </c>
      <c r="J203" t="str">
        <f>TRIM(C203)</f>
        <v>CONCACAF</v>
      </c>
      <c r="K203" s="1">
        <f>SUMIF(C:C, "UEFA", F:F)</f>
        <v>75949.19</v>
      </c>
      <c r="L203" s="1">
        <f>COUNTIF(C:C, "CAF")</f>
        <v>54</v>
      </c>
      <c r="M203" s="1">
        <f>SUMIFS(F:F, C:C, "UEFA", D:D, "&lt;=20")</f>
        <v>20285.549999999996</v>
      </c>
    </row>
    <row r="204" spans="1:13" x14ac:dyDescent="0.2">
      <c r="A204" s="1" t="s">
        <v>416</v>
      </c>
      <c r="B204" s="1" t="s">
        <v>417</v>
      </c>
      <c r="C204" s="1" t="s">
        <v>45</v>
      </c>
      <c r="D204">
        <v>203</v>
      </c>
      <c r="E204">
        <v>204</v>
      </c>
      <c r="F204">
        <v>854.72</v>
      </c>
      <c r="G204">
        <v>854.72</v>
      </c>
      <c r="H204">
        <f>E204 - D204</f>
        <v>1</v>
      </c>
      <c r="I204">
        <f>F204 - G204</f>
        <v>0</v>
      </c>
      <c r="J204" t="str">
        <f>TRIM(C204)</f>
        <v>CAF</v>
      </c>
      <c r="K204" s="1">
        <f>SUMIF(C:C, "UEFA", F:F)</f>
        <v>75949.19</v>
      </c>
      <c r="L204" s="1">
        <f>COUNTIF(C:C, "CAF")</f>
        <v>54</v>
      </c>
      <c r="M204" s="1">
        <f>SUMIFS(F:F, C:C, "UEFA", D:D, "&lt;=20")</f>
        <v>20285.549999999996</v>
      </c>
    </row>
    <row r="205" spans="1:13" x14ac:dyDescent="0.2">
      <c r="A205" s="1" t="s">
        <v>418</v>
      </c>
      <c r="B205" s="1" t="s">
        <v>419</v>
      </c>
      <c r="C205" s="1" t="s">
        <v>12</v>
      </c>
      <c r="D205">
        <v>204</v>
      </c>
      <c r="E205">
        <v>200</v>
      </c>
      <c r="F205">
        <v>852.16</v>
      </c>
      <c r="G205">
        <v>856.55</v>
      </c>
      <c r="H205">
        <f>E205 - D205</f>
        <v>-4</v>
      </c>
      <c r="I205">
        <f>F205 - G205</f>
        <v>-4.3899999999999864</v>
      </c>
      <c r="J205" t="str">
        <f>TRIM(C205)</f>
        <v>UEFA</v>
      </c>
      <c r="K205" s="1">
        <f>SUMIF(C:C, "UEFA", F:F)</f>
        <v>75949.19</v>
      </c>
      <c r="L205" s="1">
        <f>COUNTIF(C:C, "CAF")</f>
        <v>54</v>
      </c>
      <c r="M205" s="1">
        <f>SUMIFS(F:F, C:C, "UEFA", D:D, "&lt;=20")</f>
        <v>20285.549999999996</v>
      </c>
    </row>
    <row r="206" spans="1:13" x14ac:dyDescent="0.2">
      <c r="A206" s="1" t="s">
        <v>420</v>
      </c>
      <c r="B206" s="1" t="s">
        <v>421</v>
      </c>
      <c r="C206" s="1" t="s">
        <v>50</v>
      </c>
      <c r="D206">
        <v>205</v>
      </c>
      <c r="E206">
        <v>205</v>
      </c>
      <c r="F206">
        <v>838.33</v>
      </c>
      <c r="G206">
        <v>838.33</v>
      </c>
      <c r="H206">
        <f>E206 - D206</f>
        <v>0</v>
      </c>
      <c r="I206">
        <f>F206 - G206</f>
        <v>0</v>
      </c>
      <c r="J206" t="str">
        <f>TRIM(C206)</f>
        <v>AFC</v>
      </c>
      <c r="K206" s="1">
        <f>SUMIF(C:C, "UEFA", F:F)</f>
        <v>75949.19</v>
      </c>
      <c r="L206" s="1">
        <f>COUNTIF(C:C, "CAF")</f>
        <v>54</v>
      </c>
      <c r="M206" s="1">
        <f>SUMIFS(F:F, C:C, "UEFA", D:D, "&lt;=20")</f>
        <v>20285.549999999996</v>
      </c>
    </row>
    <row r="207" spans="1:13" x14ac:dyDescent="0.2">
      <c r="A207" s="1" t="s">
        <v>422</v>
      </c>
      <c r="B207" s="1" t="s">
        <v>423</v>
      </c>
      <c r="C207" s="1" t="s">
        <v>35</v>
      </c>
      <c r="D207">
        <v>206</v>
      </c>
      <c r="E207">
        <v>206</v>
      </c>
      <c r="F207">
        <v>832</v>
      </c>
      <c r="G207">
        <v>832</v>
      </c>
      <c r="H207">
        <f>E207 - D207</f>
        <v>0</v>
      </c>
      <c r="I207">
        <f>F207 - G207</f>
        <v>0</v>
      </c>
      <c r="J207" t="str">
        <f>TRIM(C207)</f>
        <v>CONCACAF</v>
      </c>
      <c r="K207" s="1">
        <f>SUMIF(C:C, "UEFA", F:F)</f>
        <v>75949.19</v>
      </c>
      <c r="L207" s="1">
        <f>COUNTIF(C:C, "CAF")</f>
        <v>54</v>
      </c>
      <c r="M207" s="1">
        <f>SUMIFS(F:F, C:C, "UEFA", D:D, "&lt;=20")</f>
        <v>20285.549999999996</v>
      </c>
    </row>
    <row r="208" spans="1:13" x14ac:dyDescent="0.2">
      <c r="A208" s="1" t="s">
        <v>424</v>
      </c>
      <c r="B208" s="1" t="s">
        <v>425</v>
      </c>
      <c r="C208" s="1" t="s">
        <v>50</v>
      </c>
      <c r="D208">
        <v>207</v>
      </c>
      <c r="E208">
        <v>207</v>
      </c>
      <c r="F208">
        <v>825.25</v>
      </c>
      <c r="G208">
        <v>825.25</v>
      </c>
      <c r="H208">
        <f>E208 - D208</f>
        <v>0</v>
      </c>
      <c r="I208">
        <f>F208 - G208</f>
        <v>0</v>
      </c>
      <c r="J208" t="str">
        <f>TRIM(C208)</f>
        <v>AFC</v>
      </c>
      <c r="K208" s="1">
        <f>SUMIF(C:C, "UEFA", F:F)</f>
        <v>75949.19</v>
      </c>
      <c r="L208" s="1">
        <f>COUNTIF(C:C, "CAF")</f>
        <v>54</v>
      </c>
      <c r="M208" s="1">
        <f>SUMIFS(F:F, C:C, "UEFA", D:D, "&lt;=20")</f>
        <v>20285.549999999996</v>
      </c>
    </row>
    <row r="209" spans="1:13" x14ac:dyDescent="0.2">
      <c r="A209" s="1" t="s">
        <v>426</v>
      </c>
      <c r="B209" s="1" t="s">
        <v>427</v>
      </c>
      <c r="C209" s="1" t="s">
        <v>35</v>
      </c>
      <c r="D209">
        <v>208</v>
      </c>
      <c r="E209">
        <v>208</v>
      </c>
      <c r="F209">
        <v>823.97</v>
      </c>
      <c r="G209">
        <v>823.97</v>
      </c>
      <c r="H209">
        <f>E209 - D209</f>
        <v>0</v>
      </c>
      <c r="I209">
        <f>F209 - G209</f>
        <v>0</v>
      </c>
      <c r="J209" t="str">
        <f>TRIM(C209)</f>
        <v>CONCACAF</v>
      </c>
      <c r="K209" s="1">
        <f>SUMIF(C:C, "UEFA", F:F)</f>
        <v>75949.19</v>
      </c>
      <c r="L209" s="1">
        <f>COUNTIF(C:C, "CAF")</f>
        <v>54</v>
      </c>
      <c r="M209" s="1">
        <f>SUMIFS(F:F, C:C, "UEFA", D:D, "&lt;=20")</f>
        <v>20285.549999999996</v>
      </c>
    </row>
    <row r="210" spans="1:13" x14ac:dyDescent="0.2">
      <c r="A210" s="1" t="s">
        <v>428</v>
      </c>
      <c r="B210" s="1" t="s">
        <v>429</v>
      </c>
      <c r="C210" s="1" t="s">
        <v>35</v>
      </c>
      <c r="D210">
        <v>209</v>
      </c>
      <c r="E210">
        <v>209</v>
      </c>
      <c r="F210">
        <v>809.32</v>
      </c>
      <c r="G210">
        <v>809.32</v>
      </c>
      <c r="H210">
        <f>E210 - D210</f>
        <v>0</v>
      </c>
      <c r="I210">
        <f>F210 - G210</f>
        <v>0</v>
      </c>
      <c r="J210" t="str">
        <f>TRIM(C210)</f>
        <v>CONCACAF</v>
      </c>
      <c r="K210" s="1">
        <f>SUMIF(C:C, "UEFA", F:F)</f>
        <v>75949.19</v>
      </c>
      <c r="L210" s="1">
        <f>COUNTIF(C:C, "CAF")</f>
        <v>54</v>
      </c>
      <c r="M210" s="1">
        <f>SUMIFS(F:F, C:C, "UEFA", D:D, "&lt;=20")</f>
        <v>20285.549999999996</v>
      </c>
    </row>
    <row r="211" spans="1:13" x14ac:dyDescent="0.2">
      <c r="A211" s="1" t="s">
        <v>430</v>
      </c>
      <c r="B211" s="1" t="s">
        <v>431</v>
      </c>
      <c r="C211" s="1" t="s">
        <v>35</v>
      </c>
      <c r="D211">
        <v>210</v>
      </c>
      <c r="E211">
        <v>210</v>
      </c>
      <c r="F211">
        <v>790.74</v>
      </c>
      <c r="G211">
        <v>790.74</v>
      </c>
      <c r="H211">
        <f>E211 - D211</f>
        <v>0</v>
      </c>
      <c r="I211">
        <f>F211 - G211</f>
        <v>0</v>
      </c>
      <c r="J211" t="str">
        <f>TRIM(C211)</f>
        <v>CONCACAF</v>
      </c>
      <c r="K211" s="1">
        <f>SUMIF(C:C, "UEFA", F:F)</f>
        <v>75949.19</v>
      </c>
      <c r="L211" s="1">
        <f>COUNTIF(C:C, "CAF")</f>
        <v>54</v>
      </c>
      <c r="M211" s="1">
        <f>SUMIFS(F:F, C:C, "UEFA", D:D, "&lt;=20")</f>
        <v>20285.549999999996</v>
      </c>
    </row>
    <row r="212" spans="1:13" x14ac:dyDescent="0.2">
      <c r="A212" s="1" t="s">
        <v>432</v>
      </c>
      <c r="B212" s="1" t="s">
        <v>433</v>
      </c>
      <c r="C212" s="1" t="s">
        <v>12</v>
      </c>
      <c r="D212">
        <v>211</v>
      </c>
      <c r="E212">
        <v>211</v>
      </c>
      <c r="F212">
        <v>762.22</v>
      </c>
      <c r="G212">
        <v>763.82</v>
      </c>
      <c r="H212">
        <f>E212 - D212</f>
        <v>0</v>
      </c>
      <c r="I212">
        <f>F212 - G212</f>
        <v>-1.6000000000000227</v>
      </c>
      <c r="J212" t="str">
        <f>TRIM(C212)</f>
        <v>UEFA</v>
      </c>
      <c r="K212" s="1">
        <f>SUMIF(C:C, "UEFA", F:F)</f>
        <v>75949.19</v>
      </c>
      <c r="L212" s="1">
        <f>COUNTIF(C:C, "CAF")</f>
        <v>54</v>
      </c>
      <c r="M212" s="1">
        <f>SUMIFS(F:F, C:C, "UEFA", D:D, "&lt;=20")</f>
        <v>20285.549999999996</v>
      </c>
    </row>
    <row r="215" spans="1:13" x14ac:dyDescent="0.2">
      <c r="A215">
        <f>_xlfn.XLOOKUP("BRA", B:B, D:D)</f>
        <v>1</v>
      </c>
    </row>
    <row r="216" spans="1:13" x14ac:dyDescent="0.2">
      <c r="A216">
        <f>_xlfn.XLOOKUP("Argentina", A:A, F:F)</f>
        <v>1773.88</v>
      </c>
    </row>
    <row r="217" spans="1:13" x14ac:dyDescent="0.2">
      <c r="A217">
        <f>_xlfn.XLOOKUP("FRA", B:B, G:G)</f>
        <v>1764.85</v>
      </c>
    </row>
    <row r="219" spans="1:13" x14ac:dyDescent="0.2">
      <c r="A219" t="str">
        <f>VLOOKUP("Belgium", A:G, 3, FALSE)</f>
        <v>UEFA</v>
      </c>
    </row>
    <row r="220" spans="1:13" x14ac:dyDescent="0.2">
      <c r="A220">
        <f>VLOOKUP("Netherlands", A:G, 6, FALSE)</f>
        <v>1694.51</v>
      </c>
    </row>
    <row r="221" spans="1:13" x14ac:dyDescent="0.2">
      <c r="A221">
        <f>VLOOKUP("Japan", A:G, 5, FALSE)</f>
        <v>24</v>
      </c>
    </row>
    <row r="258" spans="5:6" x14ac:dyDescent="0.2">
      <c r="E258" s="2" t="s">
        <v>440</v>
      </c>
      <c r="F258" t="s">
        <v>443</v>
      </c>
    </row>
    <row r="259" spans="5:6" x14ac:dyDescent="0.2">
      <c r="E259" s="3" t="s">
        <v>322</v>
      </c>
      <c r="F259" s="1">
        <v>1023.04</v>
      </c>
    </row>
    <row r="260" spans="5:6" x14ac:dyDescent="0.2">
      <c r="E260" s="3" t="s">
        <v>141</v>
      </c>
      <c r="F260" s="1">
        <v>1354.11</v>
      </c>
    </row>
    <row r="261" spans="5:6" x14ac:dyDescent="0.2">
      <c r="E261" s="3" t="s">
        <v>83</v>
      </c>
      <c r="F261" s="1">
        <v>1489.1</v>
      </c>
    </row>
    <row r="262" spans="5:6" x14ac:dyDescent="0.2">
      <c r="E262" s="3" t="s">
        <v>386</v>
      </c>
      <c r="F262" s="1">
        <v>900.27</v>
      </c>
    </row>
    <row r="263" spans="5:6" x14ac:dyDescent="0.2">
      <c r="E263" s="3" t="s">
        <v>312</v>
      </c>
      <c r="F263" s="1">
        <v>1035.2</v>
      </c>
    </row>
    <row r="264" spans="5:6" x14ac:dyDescent="0.2">
      <c r="E264" s="3" t="s">
        <v>248</v>
      </c>
      <c r="F264" s="1">
        <v>1155.9000000000001</v>
      </c>
    </row>
    <row r="265" spans="5:6" x14ac:dyDescent="0.2">
      <c r="E265" s="3" t="s">
        <v>430</v>
      </c>
      <c r="F265" s="1">
        <v>790.74</v>
      </c>
    </row>
    <row r="266" spans="5:6" x14ac:dyDescent="0.2">
      <c r="E266" s="3" t="s">
        <v>272</v>
      </c>
      <c r="F266" s="1">
        <v>1117.01</v>
      </c>
    </row>
    <row r="267" spans="5:6" x14ac:dyDescent="0.2">
      <c r="E267" s="3" t="s">
        <v>13</v>
      </c>
      <c r="F267" s="1">
        <v>1773.88</v>
      </c>
    </row>
    <row r="268" spans="5:6" x14ac:dyDescent="0.2">
      <c r="E268" s="3" t="s">
        <v>195</v>
      </c>
      <c r="F268" s="1">
        <v>1233.93</v>
      </c>
    </row>
    <row r="269" spans="5:6" x14ac:dyDescent="0.2">
      <c r="E269" s="3" t="s">
        <v>412</v>
      </c>
      <c r="F269" s="1">
        <v>855.37</v>
      </c>
    </row>
    <row r="270" spans="5:6" x14ac:dyDescent="0.2">
      <c r="E270" s="3" t="s">
        <v>85</v>
      </c>
      <c r="F270" s="1">
        <v>1488.72</v>
      </c>
    </row>
    <row r="271" spans="5:6" x14ac:dyDescent="0.2">
      <c r="E271" s="3" t="s">
        <v>77</v>
      </c>
      <c r="F271" s="1">
        <v>1492.95</v>
      </c>
    </row>
    <row r="272" spans="5:6" x14ac:dyDescent="0.2">
      <c r="E272" s="3" t="s">
        <v>256</v>
      </c>
      <c r="F272" s="1">
        <v>1146.72</v>
      </c>
    </row>
    <row r="273" spans="5:6" x14ac:dyDescent="0.2">
      <c r="E273" s="3" t="s">
        <v>414</v>
      </c>
      <c r="F273" s="1">
        <v>854.8</v>
      </c>
    </row>
    <row r="274" spans="5:6" x14ac:dyDescent="0.2">
      <c r="E274" s="3" t="s">
        <v>179</v>
      </c>
      <c r="F274" s="1">
        <v>1280.6400000000001</v>
      </c>
    </row>
    <row r="275" spans="5:6" x14ac:dyDescent="0.2">
      <c r="E275" s="3" t="s">
        <v>394</v>
      </c>
      <c r="F275" s="1">
        <v>884.45</v>
      </c>
    </row>
    <row r="276" spans="5:6" x14ac:dyDescent="0.2">
      <c r="E276" s="3" t="s">
        <v>342</v>
      </c>
      <c r="F276" s="1">
        <v>982.27</v>
      </c>
    </row>
    <row r="277" spans="5:6" x14ac:dyDescent="0.2">
      <c r="E277" s="3" t="s">
        <v>203</v>
      </c>
      <c r="F277" s="1">
        <v>1221.06</v>
      </c>
    </row>
    <row r="278" spans="5:6" x14ac:dyDescent="0.2">
      <c r="E278" s="3" t="s">
        <v>10</v>
      </c>
      <c r="F278" s="1">
        <v>1816.71</v>
      </c>
    </row>
    <row r="279" spans="5:6" x14ac:dyDescent="0.2">
      <c r="E279" s="3" t="s">
        <v>362</v>
      </c>
      <c r="F279" s="1">
        <v>950.88</v>
      </c>
    </row>
    <row r="280" spans="5:6" x14ac:dyDescent="0.2">
      <c r="E280" s="3" t="s">
        <v>191</v>
      </c>
      <c r="F280" s="1">
        <v>1247.47</v>
      </c>
    </row>
    <row r="281" spans="5:6" x14ac:dyDescent="0.2">
      <c r="E281" s="3" t="s">
        <v>348</v>
      </c>
      <c r="F281" s="1">
        <v>977.47</v>
      </c>
    </row>
    <row r="282" spans="5:6" x14ac:dyDescent="0.2">
      <c r="E282" s="3" t="s">
        <v>380</v>
      </c>
      <c r="F282" s="1">
        <v>910.96</v>
      </c>
    </row>
    <row r="283" spans="5:6" x14ac:dyDescent="0.2">
      <c r="E283" s="3" t="s">
        <v>173</v>
      </c>
      <c r="F283" s="1">
        <v>1296.28</v>
      </c>
    </row>
    <row r="284" spans="5:6" x14ac:dyDescent="0.2">
      <c r="E284" s="3" t="s">
        <v>125</v>
      </c>
      <c r="F284" s="1">
        <v>1403.51</v>
      </c>
    </row>
    <row r="285" spans="5:6" x14ac:dyDescent="0.2">
      <c r="E285" s="3" t="s">
        <v>306</v>
      </c>
      <c r="F285" s="1">
        <v>1056.46</v>
      </c>
    </row>
    <row r="286" spans="5:6" x14ac:dyDescent="0.2">
      <c r="E286" s="3" t="s">
        <v>7</v>
      </c>
      <c r="F286" s="1">
        <v>1841.3</v>
      </c>
    </row>
    <row r="287" spans="5:6" x14ac:dyDescent="0.2">
      <c r="E287" s="3" t="s">
        <v>428</v>
      </c>
      <c r="F287" s="1">
        <v>809.32</v>
      </c>
    </row>
    <row r="288" spans="5:6" x14ac:dyDescent="0.2">
      <c r="E288" s="3" t="s">
        <v>390</v>
      </c>
      <c r="F288" s="1">
        <v>898.41</v>
      </c>
    </row>
    <row r="289" spans="5:6" x14ac:dyDescent="0.2">
      <c r="E289" s="3" t="s">
        <v>153</v>
      </c>
      <c r="F289" s="1">
        <v>1335.36</v>
      </c>
    </row>
    <row r="290" spans="5:6" x14ac:dyDescent="0.2">
      <c r="E290" s="3" t="s">
        <v>117</v>
      </c>
      <c r="F290" s="1">
        <v>1432.25</v>
      </c>
    </row>
    <row r="291" spans="5:6" x14ac:dyDescent="0.2">
      <c r="E291" s="3" t="s">
        <v>292</v>
      </c>
      <c r="F291" s="1">
        <v>1076.26</v>
      </c>
    </row>
    <row r="292" spans="5:6" x14ac:dyDescent="0.2">
      <c r="E292" s="3" t="s">
        <v>151</v>
      </c>
      <c r="F292" s="1">
        <v>1336.05</v>
      </c>
    </row>
    <row r="293" spans="5:6" x14ac:dyDescent="0.2">
      <c r="E293" s="3" t="s">
        <v>364</v>
      </c>
      <c r="F293" s="1">
        <v>948.62</v>
      </c>
    </row>
    <row r="294" spans="5:6" x14ac:dyDescent="0.2">
      <c r="E294" s="3" t="s">
        <v>95</v>
      </c>
      <c r="F294" s="1">
        <v>1471.44</v>
      </c>
    </row>
    <row r="295" spans="5:6" x14ac:dyDescent="0.2">
      <c r="E295" s="3" t="s">
        <v>91</v>
      </c>
      <c r="F295" s="1">
        <v>1475</v>
      </c>
    </row>
    <row r="296" spans="5:6" x14ac:dyDescent="0.2">
      <c r="E296" s="3" t="s">
        <v>400</v>
      </c>
      <c r="F296" s="1">
        <v>865.72</v>
      </c>
    </row>
    <row r="297" spans="5:6" x14ac:dyDescent="0.2">
      <c r="E297" s="3" t="s">
        <v>274</v>
      </c>
      <c r="F297" s="1">
        <v>1116.97</v>
      </c>
    </row>
    <row r="298" spans="5:6" x14ac:dyDescent="0.2">
      <c r="E298" s="3" t="s">
        <v>372</v>
      </c>
      <c r="F298" s="1">
        <v>930.22</v>
      </c>
    </row>
    <row r="299" spans="5:6" x14ac:dyDescent="0.2">
      <c r="E299" s="3" t="s">
        <v>67</v>
      </c>
      <c r="F299" s="1">
        <v>1509.61</v>
      </c>
    </row>
    <row r="300" spans="5:6" x14ac:dyDescent="0.2">
      <c r="E300" s="3" t="s">
        <v>167</v>
      </c>
      <c r="F300" s="1">
        <v>1305.06</v>
      </c>
    </row>
    <row r="301" spans="5:6" x14ac:dyDescent="0.2">
      <c r="E301" s="3" t="s">
        <v>324</v>
      </c>
      <c r="F301" s="1">
        <v>1017.78</v>
      </c>
    </row>
    <row r="302" spans="5:6" x14ac:dyDescent="0.2">
      <c r="E302" s="3" t="s">
        <v>41</v>
      </c>
      <c r="F302" s="1">
        <v>1611.04</v>
      </c>
    </row>
    <row r="303" spans="5:6" x14ac:dyDescent="0.2">
      <c r="E303" s="3" t="s">
        <v>268</v>
      </c>
      <c r="F303" s="1">
        <v>1123.18</v>
      </c>
    </row>
    <row r="304" spans="5:6" x14ac:dyDescent="0.2">
      <c r="E304" s="3" t="s">
        <v>209</v>
      </c>
      <c r="F304" s="1">
        <v>1208.79</v>
      </c>
    </row>
    <row r="305" spans="5:6" x14ac:dyDescent="0.2">
      <c r="E305" s="3" t="s">
        <v>155</v>
      </c>
      <c r="F305" s="1">
        <v>1333.92</v>
      </c>
    </row>
    <row r="306" spans="5:6" x14ac:dyDescent="0.2">
      <c r="E306" s="3" t="s">
        <v>388</v>
      </c>
      <c r="F306" s="1">
        <v>899.33</v>
      </c>
    </row>
    <row r="307" spans="5:6" x14ac:dyDescent="0.2">
      <c r="E307" s="3" t="s">
        <v>71</v>
      </c>
      <c r="F307" s="1">
        <v>1503.59</v>
      </c>
    </row>
    <row r="308" spans="5:6" x14ac:dyDescent="0.2">
      <c r="E308" s="3" t="s">
        <v>105</v>
      </c>
      <c r="F308" s="1">
        <v>1443.06</v>
      </c>
    </row>
    <row r="309" spans="5:6" x14ac:dyDescent="0.2">
      <c r="E309" s="3" t="s">
        <v>31</v>
      </c>
      <c r="F309" s="1">
        <v>1645.64</v>
      </c>
    </row>
    <row r="310" spans="5:6" x14ac:dyDescent="0.2">
      <c r="E310" s="3" t="s">
        <v>344</v>
      </c>
      <c r="F310" s="1">
        <v>978.65</v>
      </c>
    </row>
    <row r="311" spans="5:6" x14ac:dyDescent="0.2">
      <c r="E311" s="3" t="s">
        <v>181</v>
      </c>
      <c r="F311" s="1">
        <v>1278.6400000000001</v>
      </c>
    </row>
    <row r="312" spans="5:6" x14ac:dyDescent="0.2">
      <c r="E312" s="3" t="s">
        <v>230</v>
      </c>
      <c r="F312" s="1">
        <v>1183.82</v>
      </c>
    </row>
    <row r="313" spans="5:6" x14ac:dyDescent="0.2">
      <c r="E313" s="3" t="s">
        <v>79</v>
      </c>
      <c r="F313" s="1">
        <v>1492.21</v>
      </c>
    </row>
    <row r="314" spans="5:6" x14ac:dyDescent="0.2">
      <c r="E314" s="3" t="s">
        <v>27</v>
      </c>
      <c r="F314" s="1">
        <v>1666.57</v>
      </c>
    </row>
    <row r="315" spans="5:6" x14ac:dyDescent="0.2">
      <c r="E315" s="3" t="s">
        <v>396</v>
      </c>
      <c r="F315" s="1">
        <v>875.05</v>
      </c>
    </row>
    <row r="316" spans="5:6" x14ac:dyDescent="0.2">
      <c r="E316" s="3" t="s">
        <v>378</v>
      </c>
      <c r="F316" s="1">
        <v>911.51</v>
      </c>
    </row>
    <row r="317" spans="5:6" x14ac:dyDescent="0.2">
      <c r="E317" s="3" t="s">
        <v>316</v>
      </c>
      <c r="F317" s="1">
        <v>1031.8599999999999</v>
      </c>
    </row>
    <row r="318" spans="5:6" x14ac:dyDescent="0.2">
      <c r="E318" s="3" t="s">
        <v>97</v>
      </c>
      <c r="F318" s="1">
        <v>1464.39</v>
      </c>
    </row>
    <row r="319" spans="5:6" x14ac:dyDescent="0.2">
      <c r="E319" s="3" t="s">
        <v>87</v>
      </c>
      <c r="F319" s="1">
        <v>1486.44</v>
      </c>
    </row>
    <row r="320" spans="5:6" x14ac:dyDescent="0.2">
      <c r="E320" s="3" t="s">
        <v>157</v>
      </c>
      <c r="F320" s="1">
        <v>1330.51</v>
      </c>
    </row>
    <row r="321" spans="5:6" x14ac:dyDescent="0.2">
      <c r="E321" s="3" t="s">
        <v>17</v>
      </c>
      <c r="F321" s="1">
        <v>1728.47</v>
      </c>
    </row>
    <row r="322" spans="5:6" x14ac:dyDescent="0.2">
      <c r="E322" s="3" t="s">
        <v>205</v>
      </c>
      <c r="F322" s="1">
        <v>1215.6600000000001</v>
      </c>
    </row>
    <row r="323" spans="5:6" x14ac:dyDescent="0.2">
      <c r="E323" s="3" t="s">
        <v>410</v>
      </c>
      <c r="F323" s="1">
        <v>855.56</v>
      </c>
    </row>
    <row r="324" spans="5:6" x14ac:dyDescent="0.2">
      <c r="E324" s="3" t="s">
        <v>228</v>
      </c>
      <c r="F324" s="1">
        <v>1184.6400000000001</v>
      </c>
    </row>
    <row r="325" spans="5:6" x14ac:dyDescent="0.2">
      <c r="E325" s="3" t="s">
        <v>296</v>
      </c>
      <c r="F325" s="1">
        <v>1070.8900000000001</v>
      </c>
    </row>
    <row r="326" spans="5:6" x14ac:dyDescent="0.2">
      <c r="E326" s="3" t="s">
        <v>286</v>
      </c>
      <c r="F326" s="1">
        <v>1091.19</v>
      </c>
    </row>
    <row r="327" spans="5:6" x14ac:dyDescent="0.2">
      <c r="E327" s="3" t="s">
        <v>254</v>
      </c>
      <c r="F327" s="1">
        <v>1147.17</v>
      </c>
    </row>
    <row r="328" spans="5:6" x14ac:dyDescent="0.2">
      <c r="E328" s="3" t="s">
        <v>336</v>
      </c>
      <c r="F328" s="1">
        <v>989.43</v>
      </c>
    </row>
    <row r="329" spans="5:6" x14ac:dyDescent="0.2">
      <c r="E329" s="3" t="s">
        <v>121</v>
      </c>
      <c r="F329" s="1">
        <v>1405.6</v>
      </c>
    </row>
    <row r="330" spans="5:6" x14ac:dyDescent="0.2">
      <c r="E330" s="3" t="s">
        <v>15</v>
      </c>
      <c r="F330" s="1">
        <v>1759.78</v>
      </c>
    </row>
    <row r="331" spans="5:6" x14ac:dyDescent="0.2">
      <c r="E331" s="3" t="s">
        <v>171</v>
      </c>
      <c r="F331" s="1">
        <v>1301.8399999999999</v>
      </c>
    </row>
    <row r="332" spans="5:6" x14ac:dyDescent="0.2">
      <c r="E332" s="3" t="s">
        <v>165</v>
      </c>
      <c r="F332" s="1">
        <v>1307.3399999999999</v>
      </c>
    </row>
    <row r="333" spans="5:6" x14ac:dyDescent="0.2">
      <c r="E333" s="3" t="s">
        <v>29</v>
      </c>
      <c r="F333" s="1">
        <v>1650.21</v>
      </c>
    </row>
    <row r="334" spans="5:6" x14ac:dyDescent="0.2">
      <c r="E334" s="3" t="s">
        <v>131</v>
      </c>
      <c r="F334" s="1">
        <v>1393</v>
      </c>
    </row>
    <row r="335" spans="5:6" x14ac:dyDescent="0.2">
      <c r="E335" s="3" t="s">
        <v>418</v>
      </c>
      <c r="F335" s="1">
        <v>852.16</v>
      </c>
    </row>
    <row r="336" spans="5:6" x14ac:dyDescent="0.2">
      <c r="E336" s="3" t="s">
        <v>113</v>
      </c>
      <c r="F336" s="1">
        <v>1437.6</v>
      </c>
    </row>
    <row r="337" spans="5:6" x14ac:dyDescent="0.2">
      <c r="E337" s="3" t="s">
        <v>356</v>
      </c>
      <c r="F337" s="1">
        <v>963.72</v>
      </c>
    </row>
    <row r="338" spans="5:6" x14ac:dyDescent="0.2">
      <c r="E338" s="3" t="s">
        <v>420</v>
      </c>
      <c r="F338" s="1">
        <v>838.33</v>
      </c>
    </row>
    <row r="339" spans="5:6" x14ac:dyDescent="0.2">
      <c r="E339" s="3" t="s">
        <v>246</v>
      </c>
      <c r="F339" s="1">
        <v>1156.7</v>
      </c>
    </row>
    <row r="340" spans="5:6" x14ac:dyDescent="0.2">
      <c r="E340" s="3" t="s">
        <v>175</v>
      </c>
      <c r="F340" s="1">
        <v>1290.47</v>
      </c>
    </row>
    <row r="341" spans="5:6" x14ac:dyDescent="0.2">
      <c r="E341" s="3" t="s">
        <v>242</v>
      </c>
      <c r="F341" s="1">
        <v>1160.71</v>
      </c>
    </row>
    <row r="342" spans="5:6" x14ac:dyDescent="0.2">
      <c r="E342" s="3" t="s">
        <v>352</v>
      </c>
      <c r="F342" s="1">
        <v>968.74</v>
      </c>
    </row>
    <row r="343" spans="5:6" x14ac:dyDescent="0.2">
      <c r="E343" s="3" t="s">
        <v>183</v>
      </c>
      <c r="F343" s="1">
        <v>1269.07</v>
      </c>
    </row>
    <row r="344" spans="5:6" x14ac:dyDescent="0.2">
      <c r="E344" s="3" t="s">
        <v>169</v>
      </c>
      <c r="F344" s="1">
        <v>1301.98</v>
      </c>
    </row>
    <row r="345" spans="5:6" x14ac:dyDescent="0.2">
      <c r="E345" s="3" t="s">
        <v>300</v>
      </c>
      <c r="F345" s="1">
        <v>1062.3900000000001</v>
      </c>
    </row>
    <row r="346" spans="5:6" x14ac:dyDescent="0.2">
      <c r="E346" s="3" t="s">
        <v>81</v>
      </c>
      <c r="F346" s="1">
        <v>1492.2</v>
      </c>
    </row>
    <row r="347" spans="5:6" x14ac:dyDescent="0.2">
      <c r="E347" s="3" t="s">
        <v>133</v>
      </c>
      <c r="F347" s="1">
        <v>1384.41</v>
      </c>
    </row>
    <row r="348" spans="5:6" x14ac:dyDescent="0.2">
      <c r="E348" s="3" t="s">
        <v>222</v>
      </c>
      <c r="F348" s="1">
        <v>1192.0899999999999</v>
      </c>
    </row>
    <row r="349" spans="5:6" x14ac:dyDescent="0.2">
      <c r="E349" s="3" t="s">
        <v>314</v>
      </c>
      <c r="F349" s="1">
        <v>1033.9000000000001</v>
      </c>
    </row>
    <row r="350" spans="5:6" x14ac:dyDescent="0.2">
      <c r="E350" s="3" t="s">
        <v>48</v>
      </c>
      <c r="F350" s="1">
        <v>1564.61</v>
      </c>
    </row>
    <row r="351" spans="5:6" x14ac:dyDescent="0.2">
      <c r="E351" s="3" t="s">
        <v>145</v>
      </c>
      <c r="F351" s="1">
        <v>1343.01</v>
      </c>
    </row>
    <row r="352" spans="5:6" x14ac:dyDescent="0.2">
      <c r="E352" s="3" t="s">
        <v>161</v>
      </c>
      <c r="F352" s="1">
        <v>1316.55</v>
      </c>
    </row>
    <row r="353" spans="5:6" x14ac:dyDescent="0.2">
      <c r="E353" s="3" t="s">
        <v>19</v>
      </c>
      <c r="F353" s="1">
        <v>1726.14</v>
      </c>
    </row>
    <row r="354" spans="5:6" x14ac:dyDescent="0.2">
      <c r="E354" s="3" t="s">
        <v>137</v>
      </c>
      <c r="F354" s="1">
        <v>1378.86</v>
      </c>
    </row>
    <row r="355" spans="5:6" x14ac:dyDescent="0.2">
      <c r="E355" s="3" t="s">
        <v>57</v>
      </c>
      <c r="F355" s="1">
        <v>1559.54</v>
      </c>
    </row>
    <row r="356" spans="5:6" x14ac:dyDescent="0.2">
      <c r="E356" s="3" t="s">
        <v>177</v>
      </c>
      <c r="F356" s="1">
        <v>1289.99</v>
      </c>
    </row>
    <row r="357" spans="5:6" x14ac:dyDescent="0.2">
      <c r="E357" s="3" t="s">
        <v>236</v>
      </c>
      <c r="F357" s="1">
        <v>1166.6300000000001</v>
      </c>
    </row>
    <row r="358" spans="5:6" x14ac:dyDescent="0.2">
      <c r="E358" s="3" t="s">
        <v>211</v>
      </c>
      <c r="F358" s="1">
        <v>1202.26</v>
      </c>
    </row>
    <row r="359" spans="5:6" x14ac:dyDescent="0.2">
      <c r="E359" s="3" t="s">
        <v>234</v>
      </c>
      <c r="F359" s="1">
        <v>1169.96</v>
      </c>
    </row>
    <row r="360" spans="5:6" x14ac:dyDescent="0.2">
      <c r="E360" s="3" t="s">
        <v>65</v>
      </c>
      <c r="F360" s="1">
        <v>1530.3</v>
      </c>
    </row>
    <row r="361" spans="5:6" x14ac:dyDescent="0.2">
      <c r="E361" s="3" t="s">
        <v>224</v>
      </c>
      <c r="F361" s="1">
        <v>1187.01</v>
      </c>
    </row>
    <row r="362" spans="5:6" x14ac:dyDescent="0.2">
      <c r="E362" s="3" t="s">
        <v>308</v>
      </c>
      <c r="F362" s="1">
        <v>1053.4100000000001</v>
      </c>
    </row>
    <row r="363" spans="5:6" x14ac:dyDescent="0.2">
      <c r="E363" s="3" t="s">
        <v>199</v>
      </c>
      <c r="F363" s="1">
        <v>1230.22</v>
      </c>
    </row>
    <row r="364" spans="5:6" x14ac:dyDescent="0.2">
      <c r="E364" s="3" t="s">
        <v>384</v>
      </c>
      <c r="F364" s="1">
        <v>905.51</v>
      </c>
    </row>
    <row r="365" spans="5:6" x14ac:dyDescent="0.2">
      <c r="E365" s="3" t="s">
        <v>278</v>
      </c>
      <c r="F365" s="1">
        <v>1114.21</v>
      </c>
    </row>
    <row r="366" spans="5:6" x14ac:dyDescent="0.2">
      <c r="E366" s="3" t="s">
        <v>207</v>
      </c>
      <c r="F366" s="1">
        <v>1211.71</v>
      </c>
    </row>
    <row r="367" spans="5:6" x14ac:dyDescent="0.2">
      <c r="E367" s="3" t="s">
        <v>304</v>
      </c>
      <c r="F367" s="1">
        <v>1061.4000000000001</v>
      </c>
    </row>
    <row r="368" spans="5:6" x14ac:dyDescent="0.2">
      <c r="E368" s="3" t="s">
        <v>310</v>
      </c>
      <c r="F368" s="1">
        <v>1049.6600000000001</v>
      </c>
    </row>
    <row r="369" spans="5:6" x14ac:dyDescent="0.2">
      <c r="E369" s="3" t="s">
        <v>250</v>
      </c>
      <c r="F369" s="1">
        <v>1154.25</v>
      </c>
    </row>
    <row r="370" spans="5:6" x14ac:dyDescent="0.2">
      <c r="E370" s="3" t="s">
        <v>402</v>
      </c>
      <c r="F370" s="1">
        <v>862.39</v>
      </c>
    </row>
    <row r="371" spans="5:6" x14ac:dyDescent="0.2">
      <c r="E371" s="3" t="s">
        <v>298</v>
      </c>
      <c r="F371" s="1">
        <v>1069.75</v>
      </c>
    </row>
    <row r="372" spans="5:6" x14ac:dyDescent="0.2">
      <c r="E372" s="3" t="s">
        <v>193</v>
      </c>
      <c r="F372" s="1">
        <v>1243.8</v>
      </c>
    </row>
    <row r="373" spans="5:6" x14ac:dyDescent="0.2">
      <c r="E373" s="3" t="s">
        <v>374</v>
      </c>
      <c r="F373" s="1">
        <v>922.1</v>
      </c>
    </row>
    <row r="374" spans="5:6" x14ac:dyDescent="0.2">
      <c r="E374" s="3" t="s">
        <v>213</v>
      </c>
      <c r="F374" s="1">
        <v>1200.74</v>
      </c>
    </row>
    <row r="375" spans="5:6" x14ac:dyDescent="0.2">
      <c r="E375" s="3" t="s">
        <v>258</v>
      </c>
      <c r="F375" s="1">
        <v>1144.97</v>
      </c>
    </row>
    <row r="376" spans="5:6" x14ac:dyDescent="0.2">
      <c r="E376" s="3" t="s">
        <v>302</v>
      </c>
      <c r="F376" s="1">
        <v>1062.32</v>
      </c>
    </row>
    <row r="377" spans="5:6" x14ac:dyDescent="0.2">
      <c r="E377" s="3" t="s">
        <v>318</v>
      </c>
      <c r="F377" s="1">
        <v>1026.0899999999999</v>
      </c>
    </row>
    <row r="378" spans="5:6" x14ac:dyDescent="0.2">
      <c r="E378" s="3" t="s">
        <v>101</v>
      </c>
      <c r="F378" s="1">
        <v>1448.85</v>
      </c>
    </row>
    <row r="379" spans="5:6" x14ac:dyDescent="0.2">
      <c r="E379" s="3" t="s">
        <v>346</v>
      </c>
      <c r="F379" s="1">
        <v>977.92</v>
      </c>
    </row>
    <row r="380" spans="5:6" x14ac:dyDescent="0.2">
      <c r="E380" s="3" t="s">
        <v>215</v>
      </c>
      <c r="F380" s="1">
        <v>1197.58</v>
      </c>
    </row>
    <row r="381" spans="5:6" x14ac:dyDescent="0.2">
      <c r="E381" s="3" t="s">
        <v>370</v>
      </c>
      <c r="F381" s="1">
        <v>932.02</v>
      </c>
    </row>
    <row r="382" spans="5:6" x14ac:dyDescent="0.2">
      <c r="E382" s="3" t="s">
        <v>33</v>
      </c>
      <c r="F382" s="1">
        <v>1644.89</v>
      </c>
    </row>
    <row r="383" spans="5:6" x14ac:dyDescent="0.2">
      <c r="E383" s="3" t="s">
        <v>358</v>
      </c>
      <c r="F383" s="1">
        <v>961.23</v>
      </c>
    </row>
    <row r="384" spans="5:6" x14ac:dyDescent="0.2">
      <c r="E384" s="3" t="s">
        <v>376</v>
      </c>
      <c r="F384" s="1">
        <v>913.55</v>
      </c>
    </row>
    <row r="385" spans="5:6" x14ac:dyDescent="0.2">
      <c r="E385" s="3" t="s">
        <v>147</v>
      </c>
      <c r="F385" s="1">
        <v>1341.03</v>
      </c>
    </row>
    <row r="386" spans="5:6" x14ac:dyDescent="0.2">
      <c r="E386" s="3" t="s">
        <v>368</v>
      </c>
      <c r="F386" s="1">
        <v>940.78</v>
      </c>
    </row>
    <row r="387" spans="5:6" x14ac:dyDescent="0.2">
      <c r="E387" s="3" t="s">
        <v>53</v>
      </c>
      <c r="F387" s="1">
        <v>1563.5</v>
      </c>
    </row>
    <row r="388" spans="5:6" x14ac:dyDescent="0.2">
      <c r="E388" s="3" t="s">
        <v>238</v>
      </c>
      <c r="F388" s="1">
        <v>1165.22</v>
      </c>
    </row>
    <row r="389" spans="5:6" x14ac:dyDescent="0.2">
      <c r="E389" s="3" t="s">
        <v>326</v>
      </c>
      <c r="F389" s="1">
        <v>1007.89</v>
      </c>
    </row>
    <row r="390" spans="5:6" x14ac:dyDescent="0.2">
      <c r="E390" s="3" t="s">
        <v>240</v>
      </c>
      <c r="F390" s="1">
        <v>1164.1300000000001</v>
      </c>
    </row>
    <row r="391" spans="5:6" x14ac:dyDescent="0.2">
      <c r="E391" s="3" t="s">
        <v>360</v>
      </c>
      <c r="F391" s="1">
        <v>954.86</v>
      </c>
    </row>
    <row r="392" spans="5:6" x14ac:dyDescent="0.2">
      <c r="E392" s="3" t="s">
        <v>23</v>
      </c>
      <c r="F392" s="1">
        <v>1694.51</v>
      </c>
    </row>
    <row r="393" spans="5:6" x14ac:dyDescent="0.2">
      <c r="E393" s="3" t="s">
        <v>332</v>
      </c>
      <c r="F393" s="1">
        <v>995.58</v>
      </c>
    </row>
    <row r="394" spans="5:6" x14ac:dyDescent="0.2">
      <c r="E394" s="3" t="s">
        <v>219</v>
      </c>
      <c r="F394" s="1">
        <v>1193.98</v>
      </c>
    </row>
    <row r="395" spans="5:6" x14ac:dyDescent="0.2">
      <c r="E395" s="3" t="s">
        <v>294</v>
      </c>
      <c r="F395" s="1">
        <v>1071.83</v>
      </c>
    </row>
    <row r="396" spans="5:6" x14ac:dyDescent="0.2">
      <c r="E396" s="3" t="s">
        <v>252</v>
      </c>
      <c r="F396" s="1">
        <v>1152.8</v>
      </c>
    </row>
    <row r="397" spans="5:6" x14ac:dyDescent="0.2">
      <c r="E397" s="3" t="s">
        <v>73</v>
      </c>
      <c r="F397" s="1">
        <v>1498.47</v>
      </c>
    </row>
    <row r="398" spans="5:6" x14ac:dyDescent="0.2">
      <c r="E398" s="3" t="s">
        <v>139</v>
      </c>
      <c r="F398" s="1">
        <v>1358.51</v>
      </c>
    </row>
    <row r="399" spans="5:6" x14ac:dyDescent="0.2">
      <c r="E399" s="3" t="s">
        <v>127</v>
      </c>
      <c r="F399" s="1">
        <v>1396.55</v>
      </c>
    </row>
    <row r="400" spans="5:6" x14ac:dyDescent="0.2">
      <c r="E400" s="3" t="s">
        <v>93</v>
      </c>
      <c r="F400" s="1">
        <v>1473.04</v>
      </c>
    </row>
    <row r="401" spans="5:6" x14ac:dyDescent="0.2">
      <c r="E401" s="3" t="s">
        <v>159</v>
      </c>
      <c r="F401" s="1">
        <v>1320.29</v>
      </c>
    </row>
    <row r="402" spans="5:6" x14ac:dyDescent="0.2">
      <c r="E402" s="3" t="s">
        <v>398</v>
      </c>
      <c r="F402" s="1">
        <v>866.81</v>
      </c>
    </row>
    <row r="403" spans="5:6" x14ac:dyDescent="0.2">
      <c r="E403" s="3" t="s">
        <v>197</v>
      </c>
      <c r="F403" s="1">
        <v>1233.72</v>
      </c>
    </row>
    <row r="404" spans="5:6" x14ac:dyDescent="0.2">
      <c r="E404" s="3" t="s">
        <v>129</v>
      </c>
      <c r="F404" s="1">
        <v>1393.28</v>
      </c>
    </row>
    <row r="405" spans="5:6" x14ac:dyDescent="0.2">
      <c r="E405" s="3" t="s">
        <v>328</v>
      </c>
      <c r="F405" s="1">
        <v>1007.46</v>
      </c>
    </row>
    <row r="406" spans="5:6" x14ac:dyDescent="0.2">
      <c r="E406" s="3" t="s">
        <v>103</v>
      </c>
      <c r="F406" s="1">
        <v>1448.77</v>
      </c>
    </row>
    <row r="407" spans="5:6" x14ac:dyDescent="0.2">
      <c r="E407" s="3" t="s">
        <v>55</v>
      </c>
      <c r="F407" s="1">
        <v>1561.01</v>
      </c>
    </row>
    <row r="408" spans="5:6" x14ac:dyDescent="0.2">
      <c r="E408" s="3" t="s">
        <v>276</v>
      </c>
      <c r="F408" s="1">
        <v>1115.1300000000001</v>
      </c>
    </row>
    <row r="409" spans="5:6" x14ac:dyDescent="0.2">
      <c r="E409" s="3" t="s">
        <v>61</v>
      </c>
      <c r="F409" s="1">
        <v>1548.59</v>
      </c>
    </row>
    <row r="410" spans="5:6" x14ac:dyDescent="0.2">
      <c r="E410" s="3" t="s">
        <v>25</v>
      </c>
      <c r="F410" s="1">
        <v>1676.56</v>
      </c>
    </row>
    <row r="411" spans="5:6" x14ac:dyDescent="0.2">
      <c r="E411" s="3" t="s">
        <v>350</v>
      </c>
      <c r="F411" s="1">
        <v>974.32</v>
      </c>
    </row>
    <row r="412" spans="5:6" x14ac:dyDescent="0.2">
      <c r="E412" s="3" t="s">
        <v>109</v>
      </c>
      <c r="F412" s="1">
        <v>1439.89</v>
      </c>
    </row>
    <row r="413" spans="5:6" x14ac:dyDescent="0.2">
      <c r="E413" s="3" t="s">
        <v>107</v>
      </c>
      <c r="F413" s="1">
        <v>1440.19</v>
      </c>
    </row>
    <row r="414" spans="5:6" x14ac:dyDescent="0.2">
      <c r="E414" s="3" t="s">
        <v>115</v>
      </c>
      <c r="F414" s="1">
        <v>1434.68</v>
      </c>
    </row>
    <row r="415" spans="5:6" x14ac:dyDescent="0.2">
      <c r="E415" s="3" t="s">
        <v>75</v>
      </c>
      <c r="F415" s="1">
        <v>1496.11</v>
      </c>
    </row>
    <row r="416" spans="5:6" x14ac:dyDescent="0.2">
      <c r="E416" s="3" t="s">
        <v>284</v>
      </c>
      <c r="F416" s="1">
        <v>1093.6600000000001</v>
      </c>
    </row>
    <row r="417" spans="5:6" x14ac:dyDescent="0.2">
      <c r="E417" s="3" t="s">
        <v>392</v>
      </c>
      <c r="F417" s="1">
        <v>894.26</v>
      </c>
    </row>
    <row r="418" spans="5:6" x14ac:dyDescent="0.2">
      <c r="E418" s="3" t="s">
        <v>432</v>
      </c>
      <c r="F418" s="1">
        <v>762.22</v>
      </c>
    </row>
    <row r="419" spans="5:6" x14ac:dyDescent="0.2">
      <c r="E419" s="3" t="s">
        <v>382</v>
      </c>
      <c r="F419" s="1">
        <v>908.18</v>
      </c>
    </row>
    <row r="420" spans="5:6" x14ac:dyDescent="0.2">
      <c r="E420" s="3" t="s">
        <v>111</v>
      </c>
      <c r="F420" s="1">
        <v>1437.78</v>
      </c>
    </row>
    <row r="421" spans="5:6" x14ac:dyDescent="0.2">
      <c r="E421" s="3" t="s">
        <v>89</v>
      </c>
      <c r="F421" s="1">
        <v>1479.53</v>
      </c>
    </row>
    <row r="422" spans="5:6" x14ac:dyDescent="0.2">
      <c r="E422" s="3" t="s">
        <v>43</v>
      </c>
      <c r="F422" s="1">
        <v>1584.38</v>
      </c>
    </row>
    <row r="423" spans="5:6" x14ac:dyDescent="0.2">
      <c r="E423" s="3" t="s">
        <v>51</v>
      </c>
      <c r="F423" s="1">
        <v>1563.62</v>
      </c>
    </row>
    <row r="424" spans="5:6" x14ac:dyDescent="0.2">
      <c r="E424" s="3" t="s">
        <v>408</v>
      </c>
      <c r="F424" s="1">
        <v>859.56</v>
      </c>
    </row>
    <row r="425" spans="5:6" x14ac:dyDescent="0.2">
      <c r="E425" s="3" t="s">
        <v>244</v>
      </c>
      <c r="F425" s="1">
        <v>1160.31</v>
      </c>
    </row>
    <row r="426" spans="5:6" x14ac:dyDescent="0.2">
      <c r="E426" s="3" t="s">
        <v>330</v>
      </c>
      <c r="F426" s="1">
        <v>1003.5</v>
      </c>
    </row>
    <row r="427" spans="5:6" x14ac:dyDescent="0.2">
      <c r="E427" s="3" t="s">
        <v>119</v>
      </c>
      <c r="F427" s="1">
        <v>1425.59</v>
      </c>
    </row>
    <row r="428" spans="5:6" x14ac:dyDescent="0.2">
      <c r="E428" s="3" t="s">
        <v>135</v>
      </c>
      <c r="F428" s="1">
        <v>1384.04</v>
      </c>
    </row>
    <row r="429" spans="5:6" x14ac:dyDescent="0.2">
      <c r="E429" s="3" t="s">
        <v>282</v>
      </c>
      <c r="F429" s="1">
        <v>1095.7</v>
      </c>
    </row>
    <row r="430" spans="5:6" x14ac:dyDescent="0.2">
      <c r="E430" s="3" t="s">
        <v>416</v>
      </c>
      <c r="F430" s="1">
        <v>854.72</v>
      </c>
    </row>
    <row r="431" spans="5:6" x14ac:dyDescent="0.2">
      <c r="E431" s="3" t="s">
        <v>143</v>
      </c>
      <c r="F431" s="1">
        <v>1349.59</v>
      </c>
    </row>
    <row r="432" spans="5:6" x14ac:dyDescent="0.2">
      <c r="E432" s="3" t="s">
        <v>340</v>
      </c>
      <c r="F432" s="1">
        <v>983.99</v>
      </c>
    </row>
    <row r="433" spans="5:6" x14ac:dyDescent="0.2">
      <c r="E433" s="3" t="s">
        <v>21</v>
      </c>
      <c r="F433" s="1">
        <v>1715.22</v>
      </c>
    </row>
    <row r="434" spans="5:6" x14ac:dyDescent="0.2">
      <c r="E434" s="3" t="s">
        <v>424</v>
      </c>
      <c r="F434" s="1">
        <v>825.25</v>
      </c>
    </row>
    <row r="435" spans="5:6" x14ac:dyDescent="0.2">
      <c r="E435" s="3" t="s">
        <v>290</v>
      </c>
      <c r="F435" s="1">
        <v>1076.9100000000001</v>
      </c>
    </row>
    <row r="436" spans="5:6" x14ac:dyDescent="0.2">
      <c r="E436" s="3" t="s">
        <v>354</v>
      </c>
      <c r="F436" s="1">
        <v>965.66</v>
      </c>
    </row>
    <row r="437" spans="5:6" x14ac:dyDescent="0.2">
      <c r="E437" s="3" t="s">
        <v>366</v>
      </c>
      <c r="F437" s="1">
        <v>945.25</v>
      </c>
    </row>
    <row r="438" spans="5:6" x14ac:dyDescent="0.2">
      <c r="E438" s="3" t="s">
        <v>266</v>
      </c>
      <c r="F438" s="1">
        <v>1127.3399999999999</v>
      </c>
    </row>
    <row r="439" spans="5:6" x14ac:dyDescent="0.2">
      <c r="E439" s="3" t="s">
        <v>288</v>
      </c>
      <c r="F439" s="1">
        <v>1077.3</v>
      </c>
    </row>
    <row r="440" spans="5:6" x14ac:dyDescent="0.2">
      <c r="E440" s="3" t="s">
        <v>59</v>
      </c>
      <c r="F440" s="1">
        <v>1553.33</v>
      </c>
    </row>
    <row r="441" spans="5:6" x14ac:dyDescent="0.2">
      <c r="E441" s="3" t="s">
        <v>38</v>
      </c>
      <c r="F441" s="1">
        <v>1635.92</v>
      </c>
    </row>
    <row r="442" spans="5:6" x14ac:dyDescent="0.2">
      <c r="E442" s="3" t="s">
        <v>189</v>
      </c>
      <c r="F442" s="1">
        <v>1255.92</v>
      </c>
    </row>
    <row r="443" spans="5:6" x14ac:dyDescent="0.2">
      <c r="E443" s="3" t="s">
        <v>334</v>
      </c>
      <c r="F443" s="1">
        <v>995.11</v>
      </c>
    </row>
    <row r="444" spans="5:6" x14ac:dyDescent="0.2">
      <c r="E444" s="3" t="s">
        <v>226</v>
      </c>
      <c r="F444" s="1">
        <v>1185.7</v>
      </c>
    </row>
    <row r="445" spans="5:6" x14ac:dyDescent="0.2">
      <c r="E445" s="3" t="s">
        <v>270</v>
      </c>
      <c r="F445" s="1">
        <v>1119.8900000000001</v>
      </c>
    </row>
    <row r="446" spans="5:6" x14ac:dyDescent="0.2">
      <c r="E446" s="3" t="s">
        <v>232</v>
      </c>
      <c r="F446" s="1">
        <v>1174.92</v>
      </c>
    </row>
    <row r="447" spans="5:6" x14ac:dyDescent="0.2">
      <c r="E447" s="3" t="s">
        <v>262</v>
      </c>
      <c r="F447" s="1">
        <v>1137.47</v>
      </c>
    </row>
    <row r="448" spans="5:6" x14ac:dyDescent="0.2">
      <c r="E448" s="3" t="s">
        <v>406</v>
      </c>
      <c r="F448" s="1">
        <v>860.06</v>
      </c>
    </row>
    <row r="449" spans="5:6" x14ac:dyDescent="0.2">
      <c r="E449" s="3" t="s">
        <v>264</v>
      </c>
      <c r="F449" s="1">
        <v>1128.92</v>
      </c>
    </row>
    <row r="450" spans="5:6" x14ac:dyDescent="0.2">
      <c r="E450" s="3" t="s">
        <v>404</v>
      </c>
      <c r="F450" s="1">
        <v>861.81</v>
      </c>
    </row>
    <row r="451" spans="5:6" x14ac:dyDescent="0.2">
      <c r="E451" s="3" t="s">
        <v>217</v>
      </c>
      <c r="F451" s="1">
        <v>1195.29</v>
      </c>
    </row>
    <row r="452" spans="5:6" x14ac:dyDescent="0.2">
      <c r="E452" s="3" t="s">
        <v>69</v>
      </c>
      <c r="F452" s="1">
        <v>1507.54</v>
      </c>
    </row>
    <row r="453" spans="5:6" x14ac:dyDescent="0.2">
      <c r="E453" s="3" t="s">
        <v>99</v>
      </c>
      <c r="F453" s="1">
        <v>1460.14</v>
      </c>
    </row>
    <row r="454" spans="5:6" x14ac:dyDescent="0.2">
      <c r="E454" s="3" t="s">
        <v>280</v>
      </c>
      <c r="F454" s="1">
        <v>1100.47</v>
      </c>
    </row>
    <row r="455" spans="5:6" x14ac:dyDescent="0.2">
      <c r="E455" s="3" t="s">
        <v>422</v>
      </c>
      <c r="F455" s="1">
        <v>832</v>
      </c>
    </row>
    <row r="456" spans="5:6" x14ac:dyDescent="0.2">
      <c r="E456" s="3" t="s">
        <v>187</v>
      </c>
      <c r="F456" s="1">
        <v>1260.69</v>
      </c>
    </row>
    <row r="457" spans="5:6" x14ac:dyDescent="0.2">
      <c r="E457" s="3" t="s">
        <v>63</v>
      </c>
      <c r="F457" s="1">
        <v>1536.99</v>
      </c>
    </row>
    <row r="458" spans="5:6" x14ac:dyDescent="0.2">
      <c r="E458" s="3" t="s">
        <v>149</v>
      </c>
      <c r="F458" s="1">
        <v>1337.57</v>
      </c>
    </row>
    <row r="459" spans="5:6" x14ac:dyDescent="0.2">
      <c r="E459" s="3" t="s">
        <v>36</v>
      </c>
      <c r="F459" s="1">
        <v>1638.71</v>
      </c>
    </row>
    <row r="460" spans="5:6" x14ac:dyDescent="0.2">
      <c r="E460" s="3" t="s">
        <v>426</v>
      </c>
      <c r="F460" s="1">
        <v>823.97</v>
      </c>
    </row>
    <row r="461" spans="5:6" x14ac:dyDescent="0.2">
      <c r="E461" s="3" t="s">
        <v>40</v>
      </c>
      <c r="F461" s="1">
        <v>1627.48</v>
      </c>
    </row>
    <row r="462" spans="5:6" x14ac:dyDescent="0.2">
      <c r="E462" s="3" t="s">
        <v>163</v>
      </c>
      <c r="F462" s="1">
        <v>1309.98</v>
      </c>
    </row>
    <row r="463" spans="5:6" x14ac:dyDescent="0.2">
      <c r="E463" s="3" t="s">
        <v>338</v>
      </c>
      <c r="F463" s="1">
        <v>985.62</v>
      </c>
    </row>
    <row r="464" spans="5:6" x14ac:dyDescent="0.2">
      <c r="E464" s="3" t="s">
        <v>123</v>
      </c>
      <c r="F464" s="1">
        <v>1404.37</v>
      </c>
    </row>
    <row r="465" spans="5:6" x14ac:dyDescent="0.2">
      <c r="E465" s="3" t="s">
        <v>201</v>
      </c>
      <c r="F465" s="1">
        <v>1226.6500000000001</v>
      </c>
    </row>
    <row r="466" spans="5:6" x14ac:dyDescent="0.2">
      <c r="E466" s="3" t="s">
        <v>46</v>
      </c>
      <c r="F466" s="1">
        <v>1569.82</v>
      </c>
    </row>
    <row r="467" spans="5:6" x14ac:dyDescent="0.2">
      <c r="E467" s="3" t="s">
        <v>320</v>
      </c>
      <c r="F467" s="1">
        <v>1023.52</v>
      </c>
    </row>
    <row r="468" spans="5:6" x14ac:dyDescent="0.2">
      <c r="E468" s="3" t="s">
        <v>185</v>
      </c>
      <c r="F468" s="1">
        <v>1267.4100000000001</v>
      </c>
    </row>
    <row r="469" spans="5:6" x14ac:dyDescent="0.2">
      <c r="E469" s="3" t="s">
        <v>260</v>
      </c>
      <c r="F469" s="1">
        <v>1138.56</v>
      </c>
    </row>
    <row r="470" spans="5:6" x14ac:dyDescent="0.2">
      <c r="E470" s="3" t="s">
        <v>441</v>
      </c>
      <c r="F470" s="1">
        <v>257565.03000000009</v>
      </c>
    </row>
  </sheetData>
  <phoneticPr fontId="1" type="noConversion"/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2925C5-DBD4-0649-9C9E-46237CF265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Sheet3</vt:lpstr>
      <vt:lpstr>Sheet4</vt:lpstr>
      <vt:lpstr>Sheet5</vt:lpstr>
      <vt:lpstr>Sheet6</vt:lpstr>
      <vt:lpstr>Sheet7</vt:lpstr>
      <vt:lpstr>Sheet8</vt:lpstr>
      <vt:lpstr>fifa_ranking_2022-10-06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Lakhdissi,Aya</dc:creator>
  <cp:lastModifiedBy>Lakhdissi,Aya</cp:lastModifiedBy>
  <dcterms:created xsi:type="dcterms:W3CDTF">2026-08-22T15:49:06Z</dcterms:created>
  <dcterms:modified xsi:type="dcterms:W3CDTF">2026-09-10T15:55:18Z</dcterms:modified>
</cp:coreProperties>
</file>